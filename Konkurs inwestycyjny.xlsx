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6"/>
  <workbookPr/>
  <mc:AlternateContent xmlns:mc="http://schemas.openxmlformats.org/markup-compatibility/2006">
    <mc:Choice Requires="x15">
      <x15ac:absPath xmlns:x15ac="http://schemas.microsoft.com/office/spreadsheetml/2010/11/ac" url="https://uekkrakowpl-my.sharepoint.com/personal/238928_student_uek_krakow_pl/Documents/"/>
    </mc:Choice>
  </mc:AlternateContent>
  <xr:revisionPtr revIDLastSave="0" documentId="8_{C250A2B2-B3F5-401C-B23B-8771CD508803}" xr6:coauthVersionLast="47" xr6:coauthVersionMax="47" xr10:uidLastSave="{00000000-0000-0000-0000-000000000000}"/>
  <bookViews>
    <workbookView xWindow="-120" yWindow="-120" windowWidth="24240" windowHeight="13140" firstSheet="5" activeTab="5" xr2:uid="{37D5C7B0-D68B-4E8A-9DDA-DB214526E05B}"/>
  </bookViews>
  <sheets>
    <sheet name="I rok - obstawienia" sheetId="1" r:id="rId1"/>
    <sheet name="II rok - obstawienia" sheetId="2" r:id="rId2"/>
    <sheet name="Ceny otwarcia i zamknięcia" sheetId="6" r:id="rId3"/>
    <sheet name="I rok - wyniki" sheetId="3" r:id="rId4"/>
    <sheet name="II rok wyniki" sheetId="4" r:id="rId5"/>
    <sheet name="Ranking wspólny" sheetId="5" r:id="rId6"/>
  </sheets>
  <definedNames>
    <definedName name="_xlnm._FilterDatabase" localSheetId="5" hidden="1">'Ranking wspólny'!$A$2:$G$31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5" l="1"/>
  <c r="G12" i="5"/>
  <c r="G11" i="5"/>
  <c r="G23" i="5"/>
  <c r="G22" i="5"/>
  <c r="G15" i="5"/>
  <c r="G20" i="5"/>
  <c r="G21" i="5"/>
  <c r="G8" i="5"/>
  <c r="G10" i="5"/>
  <c r="G14" i="5"/>
  <c r="G13" i="5"/>
  <c r="G26" i="5"/>
  <c r="G24" i="5"/>
  <c r="G28" i="5"/>
  <c r="G19" i="5"/>
  <c r="G7" i="5"/>
  <c r="G30" i="5"/>
  <c r="G17" i="5"/>
  <c r="G9" i="5"/>
  <c r="G3" i="5"/>
  <c r="G31" i="5"/>
  <c r="G27" i="5"/>
  <c r="G25" i="5"/>
  <c r="G4" i="5"/>
  <c r="G6" i="5"/>
  <c r="G5" i="5"/>
  <c r="G29" i="5"/>
  <c r="G16" i="5"/>
  <c r="L35" i="4"/>
  <c r="M23" i="4" s="1"/>
  <c r="I23" i="4"/>
  <c r="I24" i="4"/>
  <c r="I25" i="4"/>
  <c r="I26" i="4"/>
  <c r="I27" i="4"/>
  <c r="I28" i="4"/>
  <c r="I29" i="4"/>
  <c r="I30" i="4"/>
  <c r="I31" i="4"/>
  <c r="I32" i="4"/>
  <c r="I33" i="4"/>
  <c r="I34" i="4"/>
  <c r="I35" i="4"/>
  <c r="I22" i="4"/>
  <c r="H23" i="4"/>
  <c r="H24" i="4"/>
  <c r="H25" i="4"/>
  <c r="H26" i="4"/>
  <c r="H27" i="4"/>
  <c r="H28" i="4"/>
  <c r="H29" i="4"/>
  <c r="H30" i="4"/>
  <c r="H31" i="4"/>
  <c r="H32" i="4"/>
  <c r="H33" i="4"/>
  <c r="H34" i="4"/>
  <c r="H35" i="4"/>
  <c r="H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22" i="4"/>
  <c r="J23" i="4" a="1"/>
  <c r="J23" i="4" s="1"/>
  <c r="L23" i="4" s="1"/>
  <c r="J24" i="4" a="1"/>
  <c r="J24" i="4"/>
  <c r="J25" i="4" a="1"/>
  <c r="J25" i="4" s="1"/>
  <c r="L25" i="4" s="1"/>
  <c r="J26" i="4" a="1"/>
  <c r="J26" i="4"/>
  <c r="J27" i="4" a="1"/>
  <c r="J27" i="4" s="1"/>
  <c r="L27" i="4" s="1"/>
  <c r="J28" i="4" a="1"/>
  <c r="J28" i="4"/>
  <c r="J29" i="4" a="1"/>
  <c r="J29" i="4" s="1"/>
  <c r="L29" i="4" s="1"/>
  <c r="J30" i="4" a="1"/>
  <c r="J30" i="4" s="1"/>
  <c r="J31" i="4" a="1"/>
  <c r="J31" i="4" s="1"/>
  <c r="L31" i="4" s="1"/>
  <c r="J32" i="4" a="1"/>
  <c r="J32" i="4"/>
  <c r="L32" i="4" s="1"/>
  <c r="J33" i="4" a="1"/>
  <c r="J33" i="4" s="1"/>
  <c r="L33" i="4" s="1"/>
  <c r="J34" i="4" a="1"/>
  <c r="J34" i="4"/>
  <c r="J35" i="4" a="1"/>
  <c r="J35" i="4" s="1"/>
  <c r="J22" i="4" a="1"/>
  <c r="J22" i="4" s="1"/>
  <c r="L22" i="4" s="1"/>
  <c r="F23" i="4"/>
  <c r="F24" i="4"/>
  <c r="F25" i="4"/>
  <c r="F26" i="4"/>
  <c r="F27" i="4"/>
  <c r="F28" i="4"/>
  <c r="F29" i="4"/>
  <c r="F30" i="4"/>
  <c r="F31" i="4"/>
  <c r="F32" i="4"/>
  <c r="F33" i="4"/>
  <c r="F34" i="4"/>
  <c r="F35" i="4"/>
  <c r="F22" i="4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4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23" i="3"/>
  <c r="L28" i="4"/>
  <c r="L24" i="4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23" i="3"/>
  <c r="J24" i="3" a="1"/>
  <c r="J24" i="3" s="1"/>
  <c r="J25" i="3" a="1"/>
  <c r="J25" i="3"/>
  <c r="J26" i="3" a="1"/>
  <c r="J26" i="3" s="1"/>
  <c r="J27" i="3" a="1"/>
  <c r="J27" i="3"/>
  <c r="J28" i="3" a="1"/>
  <c r="J28" i="3" s="1"/>
  <c r="J29" i="3" a="1"/>
  <c r="J29" i="3"/>
  <c r="J30" i="3" a="1"/>
  <c r="J30" i="3" s="1"/>
  <c r="J31" i="3" a="1"/>
  <c r="J31" i="3"/>
  <c r="J32" i="3" a="1"/>
  <c r="J32" i="3" s="1"/>
  <c r="J33" i="3" a="1"/>
  <c r="J33" i="3"/>
  <c r="J34" i="3" a="1"/>
  <c r="J34" i="3" s="1"/>
  <c r="J35" i="3" a="1"/>
  <c r="J35" i="3"/>
  <c r="J36" i="3" a="1"/>
  <c r="J36" i="3" s="1"/>
  <c r="J37" i="3" a="1"/>
  <c r="J37" i="3"/>
  <c r="J23" i="3" a="1"/>
  <c r="J23" i="3" s="1"/>
  <c r="D16" i="6"/>
  <c r="D15" i="6"/>
  <c r="D14" i="6"/>
  <c r="D13" i="6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4" i="3"/>
  <c r="H18" i="3"/>
  <c r="H17" i="3"/>
  <c r="H16" i="3"/>
  <c r="H15" i="3"/>
  <c r="H14" i="3"/>
  <c r="H13" i="3"/>
  <c r="H12" i="3"/>
  <c r="H11" i="3"/>
  <c r="H10" i="3"/>
  <c r="H9" i="3"/>
  <c r="H8" i="3"/>
  <c r="H7" i="3"/>
  <c r="H6" i="3"/>
  <c r="H5" i="3"/>
  <c r="H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4" i="3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4" i="4"/>
  <c r="I5" i="4"/>
  <c r="I6" i="4"/>
  <c r="I7" i="4"/>
  <c r="I8" i="4"/>
  <c r="I9" i="4"/>
  <c r="I10" i="4"/>
  <c r="I11" i="4"/>
  <c r="L11" i="4" s="1"/>
  <c r="I12" i="4"/>
  <c r="I13" i="4"/>
  <c r="I14" i="4"/>
  <c r="I15" i="4"/>
  <c r="I16" i="4"/>
  <c r="I17" i="4"/>
  <c r="I4" i="4"/>
  <c r="H5" i="4"/>
  <c r="H6" i="4"/>
  <c r="H7" i="4"/>
  <c r="H8" i="4"/>
  <c r="H9" i="4"/>
  <c r="H10" i="4"/>
  <c r="H11" i="4"/>
  <c r="H12" i="4"/>
  <c r="H13" i="4"/>
  <c r="H14" i="4"/>
  <c r="H15" i="4"/>
  <c r="H16" i="4"/>
  <c r="H17" i="4"/>
  <c r="H4" i="4"/>
  <c r="G5" i="4"/>
  <c r="G6" i="4"/>
  <c r="G7" i="4"/>
  <c r="G8" i="4"/>
  <c r="G9" i="4"/>
  <c r="G10" i="4"/>
  <c r="G11" i="4"/>
  <c r="G12" i="4"/>
  <c r="G13" i="4"/>
  <c r="G14" i="4"/>
  <c r="G15" i="4"/>
  <c r="G16" i="4"/>
  <c r="G17" i="4"/>
  <c r="G4" i="4"/>
  <c r="F5" i="4"/>
  <c r="F6" i="4"/>
  <c r="F7" i="4"/>
  <c r="F8" i="4"/>
  <c r="F9" i="4"/>
  <c r="F10" i="4"/>
  <c r="F11" i="4"/>
  <c r="F12" i="4"/>
  <c r="F13" i="4"/>
  <c r="F14" i="4"/>
  <c r="F15" i="4"/>
  <c r="F16" i="4"/>
  <c r="F17" i="4"/>
  <c r="F4" i="4"/>
  <c r="L4" i="4" s="1"/>
  <c r="L5" i="4"/>
  <c r="L6" i="4"/>
  <c r="L9" i="4"/>
  <c r="L10" i="4"/>
  <c r="L13" i="4"/>
  <c r="L14" i="4"/>
  <c r="L15" i="4"/>
  <c r="L17" i="4"/>
  <c r="J5" i="4" a="1"/>
  <c r="J5" i="4" s="1"/>
  <c r="J6" i="4" a="1"/>
  <c r="J6" i="4"/>
  <c r="J7" i="4" a="1"/>
  <c r="J7" i="4" s="1"/>
  <c r="J8" i="4" a="1"/>
  <c r="J8" i="4"/>
  <c r="J9" i="4" a="1"/>
  <c r="J9" i="4" s="1"/>
  <c r="J10" i="4" a="1"/>
  <c r="J10" i="4"/>
  <c r="J11" i="4" a="1"/>
  <c r="J11" i="4" s="1"/>
  <c r="J12" i="4" a="1"/>
  <c r="J12" i="4"/>
  <c r="J13" i="4" a="1"/>
  <c r="J13" i="4" s="1"/>
  <c r="J14" i="4" a="1"/>
  <c r="J14" i="4"/>
  <c r="J15" i="4" a="1"/>
  <c r="J15" i="4" s="1"/>
  <c r="J16" i="4" a="1"/>
  <c r="J16" i="4"/>
  <c r="J17" i="4" a="1"/>
  <c r="J17" i="4" s="1"/>
  <c r="J4" i="4" a="1"/>
  <c r="J4" i="4"/>
  <c r="J5" i="3" a="1"/>
  <c r="J5" i="3" s="1"/>
  <c r="L5" i="3" s="1"/>
  <c r="J6" i="3" a="1"/>
  <c r="J6" i="3"/>
  <c r="L6" i="3" s="1"/>
  <c r="J7" i="3" a="1"/>
  <c r="J7" i="3" s="1"/>
  <c r="J8" i="3" a="1"/>
  <c r="J8" i="3"/>
  <c r="J9" i="3" a="1"/>
  <c r="J9" i="3" s="1"/>
  <c r="L9" i="3" s="1"/>
  <c r="J10" i="3" a="1"/>
  <c r="J10" i="3"/>
  <c r="L10" i="3" s="1"/>
  <c r="J11" i="3" a="1"/>
  <c r="J11" i="3" s="1"/>
  <c r="L11" i="3" s="1"/>
  <c r="J12" i="3" a="1"/>
  <c r="J12" i="3"/>
  <c r="J13" i="3" a="1"/>
  <c r="J13" i="3" s="1"/>
  <c r="L13" i="3" s="1"/>
  <c r="J14" i="3" a="1"/>
  <c r="J14" i="3"/>
  <c r="L14" i="3" s="1"/>
  <c r="J15" i="3" a="1"/>
  <c r="J15" i="3" s="1"/>
  <c r="J16" i="3" a="1"/>
  <c r="J16" i="3"/>
  <c r="J17" i="3" a="1"/>
  <c r="J17" i="3" s="1"/>
  <c r="L17" i="3" s="1"/>
  <c r="J18" i="3" a="1"/>
  <c r="J18" i="3"/>
  <c r="L18" i="3" s="1"/>
  <c r="J4" i="3" a="1"/>
  <c r="J4" i="3" s="1"/>
  <c r="D6" i="6"/>
  <c r="D7" i="6"/>
  <c r="D8" i="6"/>
  <c r="D5" i="6"/>
  <c r="M34" i="4" l="1"/>
  <c r="M30" i="4"/>
  <c r="M26" i="4"/>
  <c r="M33" i="4"/>
  <c r="M25" i="4"/>
  <c r="M22" i="4"/>
  <c r="M32" i="4"/>
  <c r="M28" i="4"/>
  <c r="M24" i="4"/>
  <c r="M29" i="4"/>
  <c r="M35" i="4"/>
  <c r="M31" i="4"/>
  <c r="M27" i="4"/>
  <c r="L34" i="4"/>
  <c r="L30" i="4"/>
  <c r="L26" i="4"/>
  <c r="L23" i="3"/>
  <c r="L27" i="3"/>
  <c r="L31" i="3"/>
  <c r="L35" i="3"/>
  <c r="L37" i="3"/>
  <c r="L36" i="3"/>
  <c r="L24" i="3"/>
  <c r="L28" i="3"/>
  <c r="L32" i="3"/>
  <c r="L29" i="3"/>
  <c r="L33" i="3"/>
  <c r="L26" i="3"/>
  <c r="L30" i="3"/>
  <c r="L34" i="3"/>
  <c r="L25" i="3"/>
  <c r="L16" i="3"/>
  <c r="L8" i="3"/>
  <c r="L15" i="3"/>
  <c r="L7" i="3"/>
  <c r="L12" i="3"/>
  <c r="L4" i="3"/>
  <c r="L7" i="4"/>
  <c r="L16" i="4"/>
  <c r="L12" i="4"/>
  <c r="L8" i="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<sst xmlns="http://schemas.openxmlformats.org/spreadsheetml/2006/main" count="670" uniqueCount="132">
  <si>
    <t>Tydzień</t>
  </si>
  <si>
    <t>16.03 - 20.03</t>
  </si>
  <si>
    <t>Numer Grupy</t>
  </si>
  <si>
    <t>Osoba 1</t>
  </si>
  <si>
    <t>Osoba 2</t>
  </si>
  <si>
    <t>Osoba 3</t>
  </si>
  <si>
    <t>^SPX</t>
  </si>
  <si>
    <t>XAUUSD</t>
  </si>
  <si>
    <t>10YUSY.B</t>
  </si>
  <si>
    <t>EURUSD</t>
  </si>
  <si>
    <t>stan portfela</t>
  </si>
  <si>
    <t>Grupa 1</t>
  </si>
  <si>
    <t>Kacper Cieślak</t>
  </si>
  <si>
    <t>Piotr Sarniak</t>
  </si>
  <si>
    <t>Grupa 2</t>
  </si>
  <si>
    <t xml:space="preserve">Stanisław Magiera </t>
  </si>
  <si>
    <t>Jonasz Krynicki</t>
  </si>
  <si>
    <t>Adrian Czerwiecki</t>
  </si>
  <si>
    <t>Grupa 3</t>
  </si>
  <si>
    <t>Dominik Skwarczek</t>
  </si>
  <si>
    <t>Szymon Taźbirek</t>
  </si>
  <si>
    <t>Marcel Skorodzień</t>
  </si>
  <si>
    <t>Grupa 4</t>
  </si>
  <si>
    <t>Hubert Ciechanowski</t>
  </si>
  <si>
    <t>Daria Bors</t>
  </si>
  <si>
    <t>Filip Krotowski</t>
  </si>
  <si>
    <t>Grupa 5</t>
  </si>
  <si>
    <t>Magdalena Jamróz</t>
  </si>
  <si>
    <t>Magdalena Depta</t>
  </si>
  <si>
    <t>Małgorzata Abram</t>
  </si>
  <si>
    <t>Grupa 6</t>
  </si>
  <si>
    <t>Bartłomiej Richter</t>
  </si>
  <si>
    <t>Krzysztof Paś</t>
  </si>
  <si>
    <t>Mateusz Ryska</t>
  </si>
  <si>
    <t>Grupa 7</t>
  </si>
  <si>
    <t>Mateusz Śmiech</t>
  </si>
  <si>
    <t>Piotr Wieczorek</t>
  </si>
  <si>
    <t>Maks Widła</t>
  </si>
  <si>
    <t>Grupa 8</t>
  </si>
  <si>
    <t>Maciej Haspel</t>
  </si>
  <si>
    <t>Nikodem Greń</t>
  </si>
  <si>
    <t>Aleksandra Araś</t>
  </si>
  <si>
    <t>Grupa 9</t>
  </si>
  <si>
    <t>Patryk Ulicki</t>
  </si>
  <si>
    <t>Matti Saarela</t>
  </si>
  <si>
    <t>Mikołaj Smółka</t>
  </si>
  <si>
    <t>Grupa 10</t>
  </si>
  <si>
    <t>Szymon Zabawa</t>
  </si>
  <si>
    <t>Dawid Żuk</t>
  </si>
  <si>
    <t>Janusz Trześniowski</t>
  </si>
  <si>
    <t>Grupa 11</t>
  </si>
  <si>
    <t>Jakub Fronc</t>
  </si>
  <si>
    <t>Patryk Siejka</t>
  </si>
  <si>
    <t>Dominik Olwiński</t>
  </si>
  <si>
    <t>Grupa 12</t>
  </si>
  <si>
    <t>Dominik Ryk</t>
  </si>
  <si>
    <t>Natalia Rzeszutek</t>
  </si>
  <si>
    <t>Grupa 13</t>
  </si>
  <si>
    <t>Wiktor Hussakowski</t>
  </si>
  <si>
    <t>Antoni Bulsiewicz</t>
  </si>
  <si>
    <t>Jędrzej Jackowski</t>
  </si>
  <si>
    <t>Grupa 14</t>
  </si>
  <si>
    <t>Tomasz Kaczorowski</t>
  </si>
  <si>
    <t xml:space="preserve">Jakub Czyszczon </t>
  </si>
  <si>
    <t>Grupa 15</t>
  </si>
  <si>
    <t>Stefan Monetti</t>
  </si>
  <si>
    <t>Kateryna Yerchyk</t>
  </si>
  <si>
    <t>23.03 - 27.03</t>
  </si>
  <si>
    <t>Grupa A</t>
  </si>
  <si>
    <t>Glib Radchenko</t>
  </si>
  <si>
    <t>Oliwer Mamak</t>
  </si>
  <si>
    <t>Piotr Mycek</t>
  </si>
  <si>
    <t>Grupa B</t>
  </si>
  <si>
    <t>Jakub Jakóbczyk</t>
  </si>
  <si>
    <t>Michał Klim</t>
  </si>
  <si>
    <t>Patryk Kubisiak</t>
  </si>
  <si>
    <t>Grupa C</t>
  </si>
  <si>
    <t>Adrian Pikulski</t>
  </si>
  <si>
    <t>Mikołaj Stąsiek</t>
  </si>
  <si>
    <t>Jakub Noga</t>
  </si>
  <si>
    <t>Grupa D</t>
  </si>
  <si>
    <t>Krzysztof Warych</t>
  </si>
  <si>
    <t>Dominika Różalska</t>
  </si>
  <si>
    <t>Bartłomiej Rzekęć</t>
  </si>
  <si>
    <t>Grupa E</t>
  </si>
  <si>
    <t>Alicja Lechowicz</t>
  </si>
  <si>
    <t>Patrycja Mach</t>
  </si>
  <si>
    <t>Leon Bugaj</t>
  </si>
  <si>
    <t>Grupa F</t>
  </si>
  <si>
    <t>Jakub Wiącek</t>
  </si>
  <si>
    <t>Bartłomiej Karwacki</t>
  </si>
  <si>
    <t>Filip Grygierczyk</t>
  </si>
  <si>
    <t>Grupa G</t>
  </si>
  <si>
    <t>Angela Chiocchi</t>
  </si>
  <si>
    <t>Małgorzata Guzik</t>
  </si>
  <si>
    <t>Łukasz Janiewicz</t>
  </si>
  <si>
    <t>Grupa H</t>
  </si>
  <si>
    <t>Karina Kozik</t>
  </si>
  <si>
    <t>Jakub Burek</t>
  </si>
  <si>
    <t>Grupa I</t>
  </si>
  <si>
    <t>Maja Płonka</t>
  </si>
  <si>
    <t>Julia Majdak</t>
  </si>
  <si>
    <t>Igor Sikora</t>
  </si>
  <si>
    <t>Grupa J</t>
  </si>
  <si>
    <t>Szymon Skierkowski</t>
  </si>
  <si>
    <t>Filip Schindler</t>
  </si>
  <si>
    <t>Konrad Jarosz</t>
  </si>
  <si>
    <t>Grupa K</t>
  </si>
  <si>
    <t>Ewelina Lisak</t>
  </si>
  <si>
    <t>Martyna Pinda</t>
  </si>
  <si>
    <t>Bartłomiej Zwierzchowski</t>
  </si>
  <si>
    <t>Grupa L</t>
  </si>
  <si>
    <t xml:space="preserve">Szymon Dzwonnik </t>
  </si>
  <si>
    <t>Kamil Dziekan</t>
  </si>
  <si>
    <t>Michał Bartos</t>
  </si>
  <si>
    <t>Grupa M</t>
  </si>
  <si>
    <t>Urszula Jemioło</t>
  </si>
  <si>
    <t>Natalia Obara</t>
  </si>
  <si>
    <t>Weronika Lewoń</t>
  </si>
  <si>
    <t>Grupa N</t>
  </si>
  <si>
    <t>Błażej Niewiarowski</t>
  </si>
  <si>
    <t>Natalia Rogowska</t>
  </si>
  <si>
    <t>Ceny otwarcia i zamknięcia na podstawie danych z platformy Stooq</t>
  </si>
  <si>
    <t>cena otwarcia</t>
  </si>
  <si>
    <t>cena zamknięcia</t>
  </si>
  <si>
    <t>zmiana procentowa</t>
  </si>
  <si>
    <t>środki wolne</t>
  </si>
  <si>
    <t>miejsce</t>
  </si>
  <si>
    <t>wolne środki</t>
  </si>
  <si>
    <t>ROK</t>
  </si>
  <si>
    <t>wynik portfela</t>
  </si>
  <si>
    <t>Miejsce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</si>
</sst>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color theme="1"/>
      <name val="Aptos Narrow"/>
      <family val="2"/>
      <charset val="238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charset val="238"/>
      <scheme val="minor"/>
    </font>
    <font>
      <sz val="11"/>
      <color rgb="FF000000"/>
      <name val="Aptos Narrow"/>
      <family val="2"/>
      <scheme val="minor"/>
    </font>
    <font>
      <b/>
      <i/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b/>
      <u/>
      <sz val="11"/>
      <color theme="1"/>
      <name val="Aptos Narrow"/>
      <family val="2"/>
      <scheme val="minor"/>
    </font>
    <font>
      <sz val="10"/>
      <color rgb="FF000000"/>
      <name val="Arial"/>
      <family val="2"/>
      <charset val="238"/>
    </font>
    <font>
      <sz val="11"/>
      <color theme="1"/>
      <name val="Aptos Narrow"/>
      <family val="2"/>
      <charset val="238"/>
      <scheme val="minor"/>
    </font>
    <font>
      <sz val="10"/>
      <color theme="1"/>
      <name val="Arial"/>
      <family val="2"/>
      <charset val="238"/>
    </font>
    <font>
      <sz val="10"/>
      <color rgb="FFEE0000"/>
      <name val="Arial"/>
      <family val="2"/>
      <charset val="238"/>
    </font>
    <font>
      <i/>
      <sz val="11"/>
      <color rgb="FF000000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/>
    <xf numFmtId="9" fontId="9" fillId="0" borderId="0" applyFont="0" applyFill="0" applyBorder="0" applyAlignment="0" applyProtection="0"/>
  </cellStyleXfs>
  <cellXfs count="1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 applyAlignment="1">
      <alignment horizontal="center"/>
    </xf>
    <xf numFmtId="0" fontId="10" fillId="2" borderId="1" xfId="0" applyFont="1" applyFill="1" applyBorder="1"/>
    <xf numFmtId="10" fontId="11" fillId="2" borderId="1" xfId="1" applyNumberFormat="1" applyFont="1" applyFill="1" applyBorder="1"/>
    <xf numFmtId="2" fontId="0" fillId="0" borderId="0" xfId="0" applyNumberFormat="1"/>
    <xf numFmtId="0" fontId="12" fillId="0" borderId="0" xfId="0" applyFont="1"/>
    <xf numFmtId="0" fontId="13" fillId="0" borderId="0" xfId="0" applyFont="1"/>
    <xf numFmtId="14" fontId="13" fillId="0" borderId="0" xfId="0" applyNumberFormat="1" applyFont="1"/>
    <xf numFmtId="0" fontId="7" fillId="0" borderId="0" xfId="0" applyFont="1" applyAlignment="1">
      <alignment horizontal="left"/>
    </xf>
  </cellXfs>
  <cellStyles count="2">
    <cellStyle name="Normalny" xfId="0" builtinId="0"/>
    <cellStyle name="Procentowy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4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Pakiet 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911D7E-1438-4E50-8F10-910137E4E9E2}">
  <dimension ref="A1:K38"/>
  <sheetViews>
    <sheetView topLeftCell="A5" workbookViewId="0">
      <selection activeCell="N28" sqref="N28"/>
    </sheetView>
  </sheetViews>
  <sheetFormatPr defaultRowHeight="15"/>
  <cols>
    <col min="1" max="1" width="15.85546875" customWidth="1"/>
    <col min="2" max="2" width="21.5703125" customWidth="1"/>
    <col min="3" max="3" width="25.85546875" customWidth="1"/>
    <col min="4" max="4" width="23.140625" customWidth="1"/>
    <col min="5" max="5" width="16.7109375" customWidth="1"/>
    <col min="8" max="8" width="10.140625" customWidth="1"/>
    <col min="10" max="10" width="12.7109375" customWidth="1"/>
    <col min="11" max="11" width="12.5703125" customWidth="1"/>
  </cols>
  <sheetData>
    <row r="1" spans="1:11">
      <c r="A1" s="4" t="s">
        <v>0</v>
      </c>
      <c r="B1" s="4" t="s">
        <v>1</v>
      </c>
    </row>
    <row r="3" spans="1:11">
      <c r="A3" s="1" t="s">
        <v>2</v>
      </c>
      <c r="B3" s="1" t="s">
        <v>3</v>
      </c>
      <c r="C3" s="1" t="s">
        <v>4</v>
      </c>
      <c r="D3" s="1" t="s">
        <v>5</v>
      </c>
      <c r="F3" s="4" t="s">
        <v>6</v>
      </c>
      <c r="G3" s="4" t="s">
        <v>7</v>
      </c>
      <c r="H3" s="4" t="s">
        <v>8</v>
      </c>
      <c r="I3" s="4" t="s">
        <v>9</v>
      </c>
      <c r="K3" s="1" t="s">
        <v>10</v>
      </c>
    </row>
    <row r="4" spans="1:11">
      <c r="A4" s="1" t="s">
        <v>11</v>
      </c>
      <c r="B4" s="2" t="s">
        <v>12</v>
      </c>
      <c r="C4" s="2" t="s">
        <v>13</v>
      </c>
      <c r="D4" s="2"/>
      <c r="F4">
        <v>-25</v>
      </c>
      <c r="G4">
        <v>-25</v>
      </c>
      <c r="H4">
        <v>0</v>
      </c>
      <c r="I4">
        <v>-50</v>
      </c>
      <c r="K4">
        <v>100</v>
      </c>
    </row>
    <row r="5" spans="1:11">
      <c r="A5" s="1" t="s">
        <v>14</v>
      </c>
      <c r="B5" s="2" t="s">
        <v>15</v>
      </c>
      <c r="C5" s="2" t="s">
        <v>16</v>
      </c>
      <c r="D5" s="2" t="s">
        <v>17</v>
      </c>
      <c r="F5">
        <v>-50</v>
      </c>
      <c r="G5">
        <v>30</v>
      </c>
      <c r="H5">
        <v>20</v>
      </c>
      <c r="I5">
        <v>0</v>
      </c>
      <c r="K5">
        <v>100</v>
      </c>
    </row>
    <row r="6" spans="1:11">
      <c r="A6" s="1" t="s">
        <v>18</v>
      </c>
      <c r="B6" s="2" t="s">
        <v>19</v>
      </c>
      <c r="C6" s="2" t="s">
        <v>20</v>
      </c>
      <c r="D6" s="2" t="s">
        <v>21</v>
      </c>
      <c r="F6">
        <v>-20</v>
      </c>
      <c r="G6">
        <v>-10</v>
      </c>
      <c r="H6">
        <v>45</v>
      </c>
      <c r="I6">
        <v>-25</v>
      </c>
      <c r="K6">
        <v>100</v>
      </c>
    </row>
    <row r="7" spans="1:11">
      <c r="A7" s="1" t="s">
        <v>22</v>
      </c>
      <c r="B7" s="2" t="s">
        <v>23</v>
      </c>
      <c r="C7" s="2" t="s">
        <v>24</v>
      </c>
      <c r="D7" s="2" t="s">
        <v>25</v>
      </c>
      <c r="F7" s="5">
        <v>-35</v>
      </c>
      <c r="G7" s="5"/>
      <c r="H7" s="5">
        <v>45</v>
      </c>
      <c r="I7" s="5">
        <v>-20</v>
      </c>
      <c r="K7">
        <v>100</v>
      </c>
    </row>
    <row r="8" spans="1:11">
      <c r="A8" s="1" t="s">
        <v>26</v>
      </c>
      <c r="B8" s="2" t="s">
        <v>27</v>
      </c>
      <c r="C8" s="2" t="s">
        <v>28</v>
      </c>
      <c r="D8" s="2" t="s">
        <v>29</v>
      </c>
      <c r="F8">
        <v>-35</v>
      </c>
      <c r="G8">
        <v>35</v>
      </c>
      <c r="H8">
        <v>-15</v>
      </c>
      <c r="I8">
        <v>15</v>
      </c>
      <c r="K8">
        <v>100</v>
      </c>
    </row>
    <row r="9" spans="1:11">
      <c r="A9" s="1" t="s">
        <v>30</v>
      </c>
      <c r="B9" s="2" t="s">
        <v>31</v>
      </c>
      <c r="C9" s="2" t="s">
        <v>32</v>
      </c>
      <c r="D9" s="2" t="s">
        <v>33</v>
      </c>
      <c r="F9">
        <v>70</v>
      </c>
      <c r="G9">
        <v>0</v>
      </c>
      <c r="H9">
        <v>0</v>
      </c>
      <c r="I9">
        <v>30</v>
      </c>
      <c r="K9">
        <v>100</v>
      </c>
    </row>
    <row r="10" spans="1:11">
      <c r="A10" s="1" t="s">
        <v>34</v>
      </c>
      <c r="B10" s="2" t="s">
        <v>35</v>
      </c>
      <c r="C10" s="2" t="s">
        <v>36</v>
      </c>
      <c r="D10" s="2" t="s">
        <v>37</v>
      </c>
      <c r="F10">
        <v>-30</v>
      </c>
      <c r="G10">
        <v>-30</v>
      </c>
      <c r="H10">
        <v>0</v>
      </c>
      <c r="I10">
        <v>-40</v>
      </c>
      <c r="K10">
        <v>100</v>
      </c>
    </row>
    <row r="11" spans="1:11">
      <c r="A11" s="1" t="s">
        <v>38</v>
      </c>
      <c r="B11" s="2" t="s">
        <v>39</v>
      </c>
      <c r="C11" s="2" t="s">
        <v>40</v>
      </c>
      <c r="D11" s="2" t="s">
        <v>41</v>
      </c>
      <c r="F11">
        <v>40</v>
      </c>
      <c r="G11">
        <v>20</v>
      </c>
      <c r="H11">
        <v>20</v>
      </c>
      <c r="I11">
        <v>20</v>
      </c>
      <c r="K11">
        <v>100</v>
      </c>
    </row>
    <row r="12" spans="1:11">
      <c r="A12" s="1" t="s">
        <v>42</v>
      </c>
      <c r="B12" s="2" t="s">
        <v>43</v>
      </c>
      <c r="C12" s="2" t="s">
        <v>44</v>
      </c>
      <c r="D12" s="2" t="s">
        <v>45</v>
      </c>
      <c r="F12">
        <v>0</v>
      </c>
      <c r="G12">
        <v>0</v>
      </c>
      <c r="H12">
        <v>20</v>
      </c>
      <c r="I12">
        <v>0</v>
      </c>
      <c r="K12">
        <v>100</v>
      </c>
    </row>
    <row r="13" spans="1:11">
      <c r="A13" s="1" t="s">
        <v>46</v>
      </c>
      <c r="B13" s="2" t="s">
        <v>47</v>
      </c>
      <c r="C13" s="2" t="s">
        <v>48</v>
      </c>
      <c r="D13" s="2" t="s">
        <v>49</v>
      </c>
      <c r="F13">
        <v>0</v>
      </c>
      <c r="G13">
        <v>-30</v>
      </c>
      <c r="H13">
        <v>40</v>
      </c>
      <c r="I13">
        <v>-30</v>
      </c>
      <c r="K13">
        <v>100</v>
      </c>
    </row>
    <row r="14" spans="1:11">
      <c r="A14" s="1" t="s">
        <v>50</v>
      </c>
      <c r="B14" s="2" t="s">
        <v>51</v>
      </c>
      <c r="C14" s="2" t="s">
        <v>52</v>
      </c>
      <c r="D14" s="2" t="s">
        <v>53</v>
      </c>
      <c r="F14">
        <v>25</v>
      </c>
      <c r="G14">
        <v>-25</v>
      </c>
      <c r="H14">
        <v>25</v>
      </c>
      <c r="I14">
        <v>-25</v>
      </c>
      <c r="K14">
        <v>100</v>
      </c>
    </row>
    <row r="15" spans="1:11">
      <c r="A15" s="1" t="s">
        <v>54</v>
      </c>
      <c r="B15" s="2" t="s">
        <v>55</v>
      </c>
      <c r="C15" s="3" t="s">
        <v>56</v>
      </c>
      <c r="D15" s="2"/>
      <c r="F15">
        <v>-60</v>
      </c>
      <c r="G15">
        <v>0</v>
      </c>
      <c r="H15">
        <v>40</v>
      </c>
      <c r="I15">
        <v>0</v>
      </c>
      <c r="K15">
        <v>100</v>
      </c>
    </row>
    <row r="16" spans="1:11">
      <c r="A16" s="1" t="s">
        <v>57</v>
      </c>
      <c r="B16" s="2" t="s">
        <v>58</v>
      </c>
      <c r="C16" s="2" t="s">
        <v>59</v>
      </c>
      <c r="D16" s="2" t="s">
        <v>60</v>
      </c>
      <c r="F16">
        <v>0</v>
      </c>
      <c r="G16">
        <v>-50</v>
      </c>
      <c r="H16">
        <v>50</v>
      </c>
      <c r="I16">
        <v>0</v>
      </c>
      <c r="K16">
        <v>100</v>
      </c>
    </row>
    <row r="17" spans="1:11">
      <c r="A17" s="1" t="s">
        <v>61</v>
      </c>
      <c r="B17" s="2" t="s">
        <v>62</v>
      </c>
      <c r="C17" s="2" t="s">
        <v>63</v>
      </c>
      <c r="D17" s="2"/>
      <c r="F17">
        <v>50</v>
      </c>
      <c r="G17">
        <v>0</v>
      </c>
      <c r="H17">
        <v>0</v>
      </c>
      <c r="I17">
        <v>0</v>
      </c>
      <c r="K17">
        <v>100</v>
      </c>
    </row>
    <row r="18" spans="1:11">
      <c r="A18" s="1" t="s">
        <v>64</v>
      </c>
      <c r="B18" s="2" t="s">
        <v>65</v>
      </c>
      <c r="C18" s="2" t="s">
        <v>66</v>
      </c>
      <c r="D18" s="2"/>
      <c r="F18">
        <v>10</v>
      </c>
      <c r="G18">
        <v>40</v>
      </c>
      <c r="H18">
        <v>50</v>
      </c>
      <c r="I18">
        <v>0</v>
      </c>
      <c r="K18">
        <v>100</v>
      </c>
    </row>
    <row r="21" spans="1:11">
      <c r="A21" s="4" t="s">
        <v>0</v>
      </c>
      <c r="B21" s="4" t="s">
        <v>67</v>
      </c>
    </row>
    <row r="23" spans="1:11">
      <c r="A23" s="1" t="s">
        <v>2</v>
      </c>
      <c r="B23" s="1" t="s">
        <v>3</v>
      </c>
      <c r="C23" s="1" t="s">
        <v>4</v>
      </c>
      <c r="D23" s="1" t="s">
        <v>5</v>
      </c>
      <c r="F23" s="4" t="s">
        <v>6</v>
      </c>
      <c r="G23" s="4" t="s">
        <v>7</v>
      </c>
      <c r="H23" s="4" t="s">
        <v>8</v>
      </c>
      <c r="I23" s="4" t="s">
        <v>9</v>
      </c>
      <c r="K23" s="1" t="s">
        <v>10</v>
      </c>
    </row>
    <row r="24" spans="1:11">
      <c r="A24" s="1" t="s">
        <v>11</v>
      </c>
      <c r="B24" s="2" t="s">
        <v>12</v>
      </c>
      <c r="C24" s="2" t="s">
        <v>13</v>
      </c>
      <c r="D24" s="2"/>
      <c r="F24">
        <v>52.65</v>
      </c>
      <c r="G24">
        <v>50</v>
      </c>
      <c r="H24">
        <v>0</v>
      </c>
      <c r="I24">
        <v>0</v>
      </c>
      <c r="K24" s="11">
        <v>102.65050127745059</v>
      </c>
    </row>
    <row r="25" spans="1:11">
      <c r="A25" s="1" t="s">
        <v>14</v>
      </c>
      <c r="B25" s="2" t="s">
        <v>15</v>
      </c>
      <c r="C25" s="2" t="s">
        <v>16</v>
      </c>
      <c r="D25" s="2" t="s">
        <v>17</v>
      </c>
      <c r="F25">
        <v>-40</v>
      </c>
      <c r="G25">
        <v>20</v>
      </c>
      <c r="H25">
        <v>20</v>
      </c>
      <c r="I25">
        <v>-18.66</v>
      </c>
      <c r="K25" s="11">
        <v>98.660415835562702</v>
      </c>
    </row>
    <row r="26" spans="1:11">
      <c r="A26" s="1" t="s">
        <v>18</v>
      </c>
      <c r="B26" s="2" t="s">
        <v>19</v>
      </c>
      <c r="C26" s="2" t="s">
        <v>20</v>
      </c>
      <c r="D26" s="2" t="s">
        <v>21</v>
      </c>
      <c r="F26">
        <v>-20</v>
      </c>
      <c r="G26">
        <v>0</v>
      </c>
      <c r="H26">
        <v>52.54</v>
      </c>
      <c r="I26">
        <v>-30</v>
      </c>
      <c r="K26" s="11">
        <v>102.53788594703636</v>
      </c>
    </row>
    <row r="27" spans="1:11">
      <c r="A27" s="1" t="s">
        <v>22</v>
      </c>
      <c r="B27" s="2" t="s">
        <v>23</v>
      </c>
      <c r="C27" s="2" t="s">
        <v>24</v>
      </c>
      <c r="D27" s="2" t="s">
        <v>25</v>
      </c>
      <c r="F27" s="5">
        <v>-50</v>
      </c>
      <c r="G27" s="5">
        <v>-20</v>
      </c>
      <c r="H27" s="5">
        <v>30</v>
      </c>
      <c r="I27" s="5">
        <v>0</v>
      </c>
      <c r="K27" s="11">
        <v>101.92058665514969</v>
      </c>
    </row>
    <row r="28" spans="1:11">
      <c r="A28" s="1" t="s">
        <v>26</v>
      </c>
      <c r="B28" s="2" t="s">
        <v>27</v>
      </c>
      <c r="C28" s="2" t="s">
        <v>28</v>
      </c>
      <c r="D28" s="2" t="s">
        <v>29</v>
      </c>
      <c r="F28">
        <v>-20</v>
      </c>
      <c r="G28">
        <v>-50</v>
      </c>
      <c r="H28">
        <v>26.94</v>
      </c>
      <c r="K28" s="11">
        <v>96.938880730595542</v>
      </c>
    </row>
    <row r="29" spans="1:11">
      <c r="A29" s="1" t="s">
        <v>30</v>
      </c>
      <c r="B29" s="2" t="s">
        <v>31</v>
      </c>
      <c r="C29" s="2" t="s">
        <v>32</v>
      </c>
      <c r="D29" s="2" t="s">
        <v>33</v>
      </c>
      <c r="F29">
        <v>32.869999999999997</v>
      </c>
      <c r="G29">
        <v>0</v>
      </c>
      <c r="H29">
        <v>32.869999999999997</v>
      </c>
      <c r="I29">
        <v>-32.869999999999997</v>
      </c>
      <c r="K29" s="11">
        <v>98.611108880783775</v>
      </c>
    </row>
    <row r="30" spans="1:11">
      <c r="A30" s="1" t="s">
        <v>34</v>
      </c>
      <c r="B30" s="2" t="s">
        <v>35</v>
      </c>
      <c r="C30" s="2" t="s">
        <v>36</v>
      </c>
      <c r="D30" s="2" t="s">
        <v>37</v>
      </c>
      <c r="F30">
        <v>45</v>
      </c>
      <c r="G30">
        <v>-35</v>
      </c>
      <c r="H30">
        <v>0</v>
      </c>
      <c r="I30">
        <v>0</v>
      </c>
      <c r="K30" s="11">
        <v>103.42854770919772</v>
      </c>
    </row>
    <row r="31" spans="1:11">
      <c r="A31" s="1" t="s">
        <v>38</v>
      </c>
      <c r="B31" s="2" t="s">
        <v>39</v>
      </c>
      <c r="C31" s="2" t="s">
        <v>40</v>
      </c>
      <c r="D31" s="2" t="s">
        <v>41</v>
      </c>
      <c r="F31">
        <v>-50</v>
      </c>
      <c r="G31">
        <v>-27.7</v>
      </c>
      <c r="H31">
        <v>0</v>
      </c>
      <c r="I31">
        <v>20</v>
      </c>
      <c r="K31" s="11">
        <v>97.701065293911597</v>
      </c>
    </row>
    <row r="32" spans="1:11">
      <c r="A32" s="1" t="s">
        <v>42</v>
      </c>
      <c r="B32" s="2" t="s">
        <v>43</v>
      </c>
      <c r="C32" s="2" t="s">
        <v>44</v>
      </c>
      <c r="D32" s="2" t="s">
        <v>45</v>
      </c>
      <c r="F32">
        <v>50</v>
      </c>
      <c r="G32">
        <v>0</v>
      </c>
      <c r="H32">
        <v>0</v>
      </c>
      <c r="I32">
        <v>0</v>
      </c>
      <c r="K32" s="11">
        <v>100.57250117315814</v>
      </c>
    </row>
    <row r="33" spans="1:11">
      <c r="A33" s="1" t="s">
        <v>46</v>
      </c>
      <c r="B33" s="2" t="s">
        <v>47</v>
      </c>
      <c r="C33" s="2" t="s">
        <v>48</v>
      </c>
      <c r="D33" s="2" t="s">
        <v>49</v>
      </c>
      <c r="F33">
        <v>-33.78</v>
      </c>
      <c r="G33">
        <v>-7.8</v>
      </c>
      <c r="H33">
        <v>31.18</v>
      </c>
      <c r="I33">
        <v>-31.18</v>
      </c>
      <c r="K33" s="11">
        <v>103.9428901220989</v>
      </c>
    </row>
    <row r="34" spans="1:11">
      <c r="A34" s="1" t="s">
        <v>50</v>
      </c>
      <c r="B34" s="2" t="s">
        <v>51</v>
      </c>
      <c r="C34" s="2" t="s">
        <v>52</v>
      </c>
      <c r="D34" s="2" t="s">
        <v>53</v>
      </c>
      <c r="F34">
        <v>-50</v>
      </c>
      <c r="G34">
        <v>-52.42</v>
      </c>
      <c r="H34">
        <v>0</v>
      </c>
      <c r="I34">
        <v>0</v>
      </c>
      <c r="K34" s="11">
        <v>102.41833876164685</v>
      </c>
    </row>
    <row r="35" spans="1:11">
      <c r="A35" s="1" t="s">
        <v>54</v>
      </c>
      <c r="B35" s="2" t="s">
        <v>55</v>
      </c>
      <c r="C35" s="3" t="s">
        <v>56</v>
      </c>
      <c r="D35" s="2"/>
      <c r="F35">
        <v>0</v>
      </c>
      <c r="G35">
        <v>57.65</v>
      </c>
      <c r="H35">
        <v>0</v>
      </c>
      <c r="I35">
        <v>-45</v>
      </c>
      <c r="K35" s="11">
        <v>102.65426838940351</v>
      </c>
    </row>
    <row r="36" spans="1:11">
      <c r="A36" s="1" t="s">
        <v>57</v>
      </c>
      <c r="B36" s="2" t="s">
        <v>58</v>
      </c>
      <c r="C36" s="2" t="s">
        <v>59</v>
      </c>
      <c r="D36" s="2" t="s">
        <v>60</v>
      </c>
      <c r="F36">
        <v>106.71</v>
      </c>
      <c r="G36">
        <v>0</v>
      </c>
      <c r="H36">
        <v>0</v>
      </c>
      <c r="I36">
        <v>0</v>
      </c>
      <c r="K36" s="11">
        <v>106.71426466650891</v>
      </c>
    </row>
    <row r="37" spans="1:11">
      <c r="A37" s="1" t="s">
        <v>61</v>
      </c>
      <c r="B37" s="2" t="s">
        <v>62</v>
      </c>
      <c r="C37" s="2" t="s">
        <v>63</v>
      </c>
      <c r="D37" s="2"/>
      <c r="F37">
        <v>90</v>
      </c>
      <c r="G37">
        <v>0</v>
      </c>
      <c r="H37">
        <v>0</v>
      </c>
      <c r="I37">
        <v>0</v>
      </c>
      <c r="K37" s="11">
        <v>98.742278297427319</v>
      </c>
    </row>
    <row r="38" spans="1:11">
      <c r="A38" s="1" t="s">
        <v>64</v>
      </c>
      <c r="B38" s="2" t="s">
        <v>65</v>
      </c>
      <c r="C38" s="2" t="s">
        <v>66</v>
      </c>
      <c r="D38" s="2"/>
      <c r="K38" s="11">
        <v>96.953299205489998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D42C10-4002-4715-9173-AB99FACA96D8}">
  <dimension ref="A1:K35"/>
  <sheetViews>
    <sheetView topLeftCell="A8" workbookViewId="0">
      <selection activeCell="O23" sqref="O23"/>
    </sheetView>
  </sheetViews>
  <sheetFormatPr defaultRowHeight="15"/>
  <cols>
    <col min="1" max="1" width="15.28515625" customWidth="1"/>
    <col min="2" max="2" width="21" customWidth="1"/>
    <col min="3" max="3" width="19.140625" customWidth="1"/>
    <col min="4" max="4" width="25" customWidth="1"/>
    <col min="7" max="7" width="10.140625" customWidth="1"/>
    <col min="8" max="8" width="10.5703125" customWidth="1"/>
    <col min="9" max="9" width="10" customWidth="1"/>
    <col min="11" max="11" width="13.42578125" customWidth="1"/>
  </cols>
  <sheetData>
    <row r="1" spans="1:11">
      <c r="A1" s="4" t="s">
        <v>0</v>
      </c>
      <c r="B1" s="4" t="s">
        <v>1</v>
      </c>
    </row>
    <row r="3" spans="1:11">
      <c r="A3" s="1" t="s">
        <v>2</v>
      </c>
      <c r="B3" s="1" t="s">
        <v>3</v>
      </c>
      <c r="C3" s="1" t="s">
        <v>4</v>
      </c>
      <c r="D3" s="1" t="s">
        <v>5</v>
      </c>
      <c r="F3" s="4" t="s">
        <v>6</v>
      </c>
      <c r="G3" s="4" t="s">
        <v>7</v>
      </c>
      <c r="H3" s="4" t="s">
        <v>8</v>
      </c>
      <c r="I3" s="4" t="s">
        <v>9</v>
      </c>
      <c r="K3" s="1" t="s">
        <v>10</v>
      </c>
    </row>
    <row r="4" spans="1:11">
      <c r="A4" s="3" t="s">
        <v>68</v>
      </c>
      <c r="B4" s="2" t="s">
        <v>69</v>
      </c>
      <c r="C4" s="2" t="s">
        <v>70</v>
      </c>
      <c r="D4" s="2" t="s">
        <v>71</v>
      </c>
      <c r="F4">
        <v>-30</v>
      </c>
      <c r="G4">
        <v>70</v>
      </c>
      <c r="H4">
        <v>0</v>
      </c>
      <c r="I4">
        <v>0</v>
      </c>
      <c r="K4">
        <v>100</v>
      </c>
    </row>
    <row r="5" spans="1:11">
      <c r="A5" s="3" t="s">
        <v>72</v>
      </c>
      <c r="B5" s="2" t="s">
        <v>73</v>
      </c>
      <c r="C5" s="2" t="s">
        <v>74</v>
      </c>
      <c r="D5" s="2" t="s">
        <v>75</v>
      </c>
      <c r="F5">
        <v>50</v>
      </c>
      <c r="G5">
        <v>0</v>
      </c>
      <c r="H5">
        <v>0</v>
      </c>
      <c r="I5">
        <v>-50</v>
      </c>
      <c r="K5">
        <v>100</v>
      </c>
    </row>
    <row r="6" spans="1:11">
      <c r="A6" s="3" t="s">
        <v>76</v>
      </c>
      <c r="B6" s="2" t="s">
        <v>77</v>
      </c>
      <c r="C6" s="2" t="s">
        <v>78</v>
      </c>
      <c r="D6" s="2" t="s">
        <v>79</v>
      </c>
      <c r="F6">
        <v>-30</v>
      </c>
      <c r="G6">
        <v>-40</v>
      </c>
      <c r="H6">
        <v>0</v>
      </c>
      <c r="I6">
        <v>-30</v>
      </c>
      <c r="K6">
        <v>100</v>
      </c>
    </row>
    <row r="7" spans="1:11">
      <c r="A7" s="3" t="s">
        <v>80</v>
      </c>
      <c r="B7" s="2" t="s">
        <v>81</v>
      </c>
      <c r="C7" s="2" t="s">
        <v>82</v>
      </c>
      <c r="D7" s="2" t="s">
        <v>83</v>
      </c>
      <c r="F7">
        <v>40</v>
      </c>
      <c r="G7">
        <v>60</v>
      </c>
      <c r="H7">
        <v>0</v>
      </c>
      <c r="I7">
        <v>0</v>
      </c>
      <c r="K7">
        <v>100</v>
      </c>
    </row>
    <row r="8" spans="1:11">
      <c r="A8" s="3" t="s">
        <v>84</v>
      </c>
      <c r="B8" s="2" t="s">
        <v>85</v>
      </c>
      <c r="C8" s="2" t="s">
        <v>86</v>
      </c>
      <c r="D8" s="2" t="s">
        <v>87</v>
      </c>
      <c r="F8">
        <v>-70</v>
      </c>
      <c r="G8">
        <v>30</v>
      </c>
      <c r="H8">
        <v>0</v>
      </c>
      <c r="I8">
        <v>0</v>
      </c>
      <c r="K8">
        <v>100</v>
      </c>
    </row>
    <row r="9" spans="1:11">
      <c r="A9" s="3" t="s">
        <v>88</v>
      </c>
      <c r="B9" s="2" t="s">
        <v>89</v>
      </c>
      <c r="C9" s="2" t="s">
        <v>90</v>
      </c>
      <c r="D9" s="2" t="s">
        <v>91</v>
      </c>
      <c r="F9">
        <v>-40</v>
      </c>
      <c r="G9">
        <v>-25</v>
      </c>
      <c r="H9">
        <v>25</v>
      </c>
      <c r="I9">
        <v>-10</v>
      </c>
      <c r="K9">
        <v>100</v>
      </c>
    </row>
    <row r="10" spans="1:11">
      <c r="A10" s="3" t="s">
        <v>92</v>
      </c>
      <c r="B10" s="2" t="s">
        <v>93</v>
      </c>
      <c r="C10" s="2" t="s">
        <v>94</v>
      </c>
      <c r="D10" s="2" t="s">
        <v>95</v>
      </c>
      <c r="F10">
        <v>-50</v>
      </c>
      <c r="G10">
        <v>-50</v>
      </c>
      <c r="H10">
        <v>0</v>
      </c>
      <c r="I10">
        <v>0</v>
      </c>
      <c r="K10">
        <v>100</v>
      </c>
    </row>
    <row r="11" spans="1:11">
      <c r="A11" s="3" t="s">
        <v>96</v>
      </c>
      <c r="B11" s="2" t="s">
        <v>97</v>
      </c>
      <c r="C11" s="2" t="s">
        <v>98</v>
      </c>
      <c r="D11" s="2"/>
      <c r="F11">
        <v>70</v>
      </c>
      <c r="G11">
        <v>15</v>
      </c>
      <c r="H11">
        <v>0</v>
      </c>
      <c r="I11">
        <v>0</v>
      </c>
      <c r="K11">
        <v>100</v>
      </c>
    </row>
    <row r="12" spans="1:11">
      <c r="A12" s="3" t="s">
        <v>99</v>
      </c>
      <c r="B12" s="2" t="s">
        <v>100</v>
      </c>
      <c r="C12" s="2" t="s">
        <v>101</v>
      </c>
      <c r="D12" s="2" t="s">
        <v>102</v>
      </c>
      <c r="F12">
        <v>-50</v>
      </c>
      <c r="G12">
        <v>50</v>
      </c>
      <c r="H12">
        <v>0</v>
      </c>
      <c r="I12">
        <v>0</v>
      </c>
      <c r="K12">
        <v>100</v>
      </c>
    </row>
    <row r="13" spans="1:11">
      <c r="A13" s="3" t="s">
        <v>103</v>
      </c>
      <c r="B13" s="2" t="s">
        <v>104</v>
      </c>
      <c r="C13" s="2" t="s">
        <v>105</v>
      </c>
      <c r="D13" s="2" t="s">
        <v>106</v>
      </c>
      <c r="F13">
        <v>-70</v>
      </c>
      <c r="G13">
        <v>30</v>
      </c>
      <c r="H13">
        <v>0</v>
      </c>
      <c r="I13">
        <v>0</v>
      </c>
      <c r="K13">
        <v>100</v>
      </c>
    </row>
    <row r="14" spans="1:11">
      <c r="A14" s="3" t="s">
        <v>107</v>
      </c>
      <c r="B14" s="2" t="s">
        <v>108</v>
      </c>
      <c r="C14" s="2" t="s">
        <v>109</v>
      </c>
      <c r="D14" s="2" t="s">
        <v>110</v>
      </c>
      <c r="F14">
        <v>-50</v>
      </c>
      <c r="G14">
        <v>-50</v>
      </c>
      <c r="H14">
        <v>0</v>
      </c>
      <c r="I14">
        <v>0</v>
      </c>
      <c r="K14">
        <v>100</v>
      </c>
    </row>
    <row r="15" spans="1:11">
      <c r="A15" s="3" t="s">
        <v>111</v>
      </c>
      <c r="B15" s="2" t="s">
        <v>112</v>
      </c>
      <c r="C15" s="2" t="s">
        <v>113</v>
      </c>
      <c r="D15" s="2" t="s">
        <v>114</v>
      </c>
      <c r="F15">
        <v>-50</v>
      </c>
      <c r="G15">
        <v>-50</v>
      </c>
      <c r="H15">
        <v>0</v>
      </c>
      <c r="I15">
        <v>0</v>
      </c>
      <c r="K15">
        <v>100</v>
      </c>
    </row>
    <row r="16" spans="1:11">
      <c r="A16" s="3" t="s">
        <v>115</v>
      </c>
      <c r="B16" s="2" t="s">
        <v>116</v>
      </c>
      <c r="C16" s="2" t="s">
        <v>117</v>
      </c>
      <c r="D16" s="2" t="s">
        <v>118</v>
      </c>
      <c r="F16">
        <v>-40</v>
      </c>
      <c r="G16">
        <v>-40</v>
      </c>
      <c r="H16">
        <v>0</v>
      </c>
      <c r="I16">
        <v>0</v>
      </c>
      <c r="K16">
        <v>100</v>
      </c>
    </row>
    <row r="17" spans="1:11">
      <c r="A17" s="3" t="s">
        <v>119</v>
      </c>
      <c r="B17" s="2" t="s">
        <v>120</v>
      </c>
      <c r="C17" s="2" t="s">
        <v>121</v>
      </c>
      <c r="D17" s="2"/>
      <c r="F17">
        <v>100</v>
      </c>
      <c r="G17">
        <v>0</v>
      </c>
      <c r="H17">
        <v>0</v>
      </c>
      <c r="I17">
        <v>0</v>
      </c>
      <c r="K17">
        <v>100</v>
      </c>
    </row>
    <row r="20" spans="1:11">
      <c r="A20" s="4" t="s">
        <v>0</v>
      </c>
      <c r="B20" s="4" t="s">
        <v>67</v>
      </c>
    </row>
    <row r="21" spans="1:11">
      <c r="A21" s="1" t="s">
        <v>2</v>
      </c>
      <c r="B21" s="1" t="s">
        <v>3</v>
      </c>
      <c r="C21" s="1" t="s">
        <v>4</v>
      </c>
      <c r="D21" s="1" t="s">
        <v>5</v>
      </c>
      <c r="F21" s="4" t="s">
        <v>6</v>
      </c>
      <c r="G21" s="4" t="s">
        <v>7</v>
      </c>
      <c r="H21" s="4" t="s">
        <v>8</v>
      </c>
      <c r="I21" s="4" t="s">
        <v>9</v>
      </c>
      <c r="K21" s="1" t="s">
        <v>10</v>
      </c>
    </row>
    <row r="22" spans="1:11">
      <c r="A22" s="3" t="s">
        <v>68</v>
      </c>
      <c r="B22" s="2" t="s">
        <v>69</v>
      </c>
      <c r="C22" s="2" t="s">
        <v>70</v>
      </c>
      <c r="D22" s="2" t="s">
        <v>71</v>
      </c>
      <c r="F22">
        <v>-30</v>
      </c>
      <c r="G22" s="5">
        <v>0</v>
      </c>
      <c r="H22" s="5">
        <v>15</v>
      </c>
      <c r="I22" s="5">
        <v>-15</v>
      </c>
      <c r="K22" s="11">
        <v>93.358416594484652</v>
      </c>
    </row>
    <row r="23" spans="1:11">
      <c r="A23" s="3" t="s">
        <v>72</v>
      </c>
      <c r="B23" s="2" t="s">
        <v>73</v>
      </c>
      <c r="C23" s="2" t="s">
        <v>74</v>
      </c>
      <c r="D23" s="2" t="s">
        <v>75</v>
      </c>
      <c r="F23" s="5">
        <v>-49.06</v>
      </c>
      <c r="G23" s="5">
        <v>-49.06</v>
      </c>
      <c r="H23" s="5">
        <v>0</v>
      </c>
      <c r="I23" s="5">
        <v>0</v>
      </c>
      <c r="K23" s="11">
        <v>98.122412856784791</v>
      </c>
    </row>
    <row r="24" spans="1:11">
      <c r="A24" s="3" t="s">
        <v>76</v>
      </c>
      <c r="B24" s="2" t="s">
        <v>77</v>
      </c>
      <c r="C24" s="2" t="s">
        <v>78</v>
      </c>
      <c r="D24" s="2" t="s">
        <v>79</v>
      </c>
      <c r="F24">
        <v>-52.3</v>
      </c>
      <c r="G24">
        <v>0</v>
      </c>
      <c r="H24">
        <v>0</v>
      </c>
      <c r="I24">
        <v>52.3</v>
      </c>
      <c r="K24" s="11">
        <v>104.60912314404894</v>
      </c>
    </row>
    <row r="25" spans="1:11">
      <c r="A25" s="3" t="s">
        <v>80</v>
      </c>
      <c r="B25" s="2" t="s">
        <v>81</v>
      </c>
      <c r="C25" s="2" t="s">
        <v>82</v>
      </c>
      <c r="D25" s="2" t="s">
        <v>83</v>
      </c>
      <c r="F25">
        <v>-46.65</v>
      </c>
      <c r="G25">
        <v>46</v>
      </c>
      <c r="H25">
        <v>0</v>
      </c>
      <c r="I25">
        <v>0</v>
      </c>
      <c r="K25" s="11">
        <v>92.654208557605614</v>
      </c>
    </row>
    <row r="26" spans="1:11">
      <c r="A26" s="3" t="s">
        <v>84</v>
      </c>
      <c r="B26" s="2" t="s">
        <v>85</v>
      </c>
      <c r="C26" s="2" t="s">
        <v>86</v>
      </c>
      <c r="D26" s="2" t="s">
        <v>87</v>
      </c>
      <c r="F26">
        <v>-70</v>
      </c>
      <c r="G26">
        <v>0</v>
      </c>
      <c r="H26">
        <v>0</v>
      </c>
      <c r="I26">
        <v>-20</v>
      </c>
      <c r="K26" s="11">
        <v>98.591003343433627</v>
      </c>
    </row>
    <row r="27" spans="1:11">
      <c r="A27" s="3" t="s">
        <v>88</v>
      </c>
      <c r="B27" s="2" t="s">
        <v>89</v>
      </c>
      <c r="C27" s="2" t="s">
        <v>90</v>
      </c>
      <c r="D27" s="2" t="s">
        <v>91</v>
      </c>
      <c r="F27">
        <v>-20</v>
      </c>
      <c r="G27">
        <v>-20</v>
      </c>
      <c r="H27">
        <v>50</v>
      </c>
      <c r="I27">
        <v>10</v>
      </c>
      <c r="K27" s="11">
        <v>104.23933660718409</v>
      </c>
    </row>
    <row r="28" spans="1:11">
      <c r="A28" s="3" t="s">
        <v>92</v>
      </c>
      <c r="B28" s="2" t="s">
        <v>93</v>
      </c>
      <c r="C28" s="2" t="s">
        <v>94</v>
      </c>
      <c r="D28" s="2" t="s">
        <v>95</v>
      </c>
      <c r="F28">
        <v>-50</v>
      </c>
      <c r="G28">
        <v>-50</v>
      </c>
      <c r="H28">
        <v>0</v>
      </c>
      <c r="I28">
        <v>0</v>
      </c>
      <c r="K28" s="11">
        <v>106.54073343618623</v>
      </c>
    </row>
    <row r="29" spans="1:11">
      <c r="A29" s="3" t="s">
        <v>96</v>
      </c>
      <c r="B29" s="2" t="s">
        <v>97</v>
      </c>
      <c r="C29" s="2" t="s">
        <v>98</v>
      </c>
      <c r="D29" s="2"/>
      <c r="F29">
        <v>96.65</v>
      </c>
      <c r="G29">
        <v>0</v>
      </c>
      <c r="H29">
        <v>0</v>
      </c>
      <c r="I29">
        <v>0</v>
      </c>
      <c r="K29" s="11">
        <v>96.654286096314195</v>
      </c>
    </row>
    <row r="30" spans="1:11">
      <c r="A30" s="3" t="s">
        <v>99</v>
      </c>
      <c r="B30" s="2" t="s">
        <v>100</v>
      </c>
      <c r="C30" s="2" t="s">
        <v>101</v>
      </c>
      <c r="D30" s="2" t="s">
        <v>102</v>
      </c>
      <c r="F30">
        <v>0</v>
      </c>
      <c r="G30">
        <v>95.97</v>
      </c>
      <c r="H30">
        <v>0</v>
      </c>
      <c r="I30">
        <v>0</v>
      </c>
      <c r="K30" s="11">
        <v>95.974709968959132</v>
      </c>
    </row>
    <row r="31" spans="1:11">
      <c r="A31" s="3" t="s">
        <v>103</v>
      </c>
      <c r="B31" s="2" t="s">
        <v>104</v>
      </c>
      <c r="C31" s="2" t="s">
        <v>105</v>
      </c>
      <c r="D31" s="2" t="s">
        <v>106</v>
      </c>
      <c r="F31">
        <v>58.59</v>
      </c>
      <c r="G31">
        <v>40</v>
      </c>
      <c r="H31">
        <v>0</v>
      </c>
      <c r="I31">
        <v>0</v>
      </c>
      <c r="K31" s="11">
        <v>98.591003343433627</v>
      </c>
    </row>
    <row r="32" spans="1:11">
      <c r="A32" s="3" t="s">
        <v>107</v>
      </c>
      <c r="B32" s="2" t="s">
        <v>108</v>
      </c>
      <c r="C32" s="2" t="s">
        <v>109</v>
      </c>
      <c r="D32" s="2" t="s">
        <v>110</v>
      </c>
      <c r="F32">
        <v>-40</v>
      </c>
      <c r="G32">
        <v>-60</v>
      </c>
      <c r="H32">
        <v>0</v>
      </c>
      <c r="I32">
        <v>6.54</v>
      </c>
      <c r="K32" s="11">
        <v>106.54073343618623</v>
      </c>
    </row>
    <row r="33" spans="1:11">
      <c r="A33" s="3" t="s">
        <v>111</v>
      </c>
      <c r="B33" s="2" t="s">
        <v>112</v>
      </c>
      <c r="C33" s="2" t="s">
        <v>113</v>
      </c>
      <c r="D33" s="2" t="s">
        <v>114</v>
      </c>
      <c r="F33">
        <v>0</v>
      </c>
      <c r="G33">
        <v>-20</v>
      </c>
      <c r="H33">
        <v>0</v>
      </c>
      <c r="I33">
        <v>0</v>
      </c>
      <c r="K33" s="11">
        <v>106.54073343618623</v>
      </c>
    </row>
    <row r="34" spans="1:11">
      <c r="A34" s="3" t="s">
        <v>115</v>
      </c>
      <c r="B34" s="2" t="s">
        <v>116</v>
      </c>
      <c r="C34" s="2" t="s">
        <v>117</v>
      </c>
      <c r="D34" s="2" t="s">
        <v>118</v>
      </c>
      <c r="F34">
        <v>-50</v>
      </c>
      <c r="G34">
        <v>-50</v>
      </c>
      <c r="H34">
        <v>0</v>
      </c>
      <c r="I34">
        <v>0</v>
      </c>
      <c r="K34" s="11">
        <v>105.23258674894898</v>
      </c>
    </row>
    <row r="35" spans="1:11">
      <c r="A35" s="3" t="s">
        <v>119</v>
      </c>
      <c r="B35" s="2" t="s">
        <v>120</v>
      </c>
      <c r="C35" s="2" t="s">
        <v>121</v>
      </c>
      <c r="D35" s="2"/>
      <c r="F35">
        <v>97.48</v>
      </c>
      <c r="G35">
        <v>0</v>
      </c>
      <c r="H35">
        <v>0</v>
      </c>
      <c r="I35">
        <v>0</v>
      </c>
      <c r="K35" s="11">
        <v>97.484556594854638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120D6-ABA6-41F9-A449-BE1074226303}">
  <dimension ref="A1:E16"/>
  <sheetViews>
    <sheetView workbookViewId="0">
      <selection activeCell="D13" sqref="D13"/>
    </sheetView>
  </sheetViews>
  <sheetFormatPr defaultRowHeight="15"/>
  <cols>
    <col min="1" max="1" width="12.5703125" customWidth="1"/>
    <col min="2" max="2" width="15.140625" customWidth="1"/>
    <col min="3" max="3" width="17.42578125" customWidth="1"/>
    <col min="4" max="4" width="19.7109375" customWidth="1"/>
  </cols>
  <sheetData>
    <row r="1" spans="1:5">
      <c r="A1" s="15" t="s">
        <v>122</v>
      </c>
      <c r="B1" s="15"/>
      <c r="C1" s="15"/>
      <c r="D1" s="15"/>
      <c r="E1" s="8"/>
    </row>
    <row r="3" spans="1:5">
      <c r="A3" s="13" t="s">
        <v>1</v>
      </c>
    </row>
    <row r="4" spans="1:5">
      <c r="B4" s="6" t="s">
        <v>123</v>
      </c>
      <c r="C4" s="6" t="s">
        <v>124</v>
      </c>
      <c r="D4" s="6" t="s">
        <v>125</v>
      </c>
    </row>
    <row r="5" spans="1:5">
      <c r="A5" s="4" t="s">
        <v>6</v>
      </c>
      <c r="B5" s="7">
        <v>6674.37</v>
      </c>
      <c r="C5" s="9">
        <v>6506.48</v>
      </c>
      <c r="D5" s="10">
        <f>C5/B5-1</f>
        <v>-2.5154434051453567E-2</v>
      </c>
    </row>
    <row r="6" spans="1:5">
      <c r="A6" s="4" t="s">
        <v>7</v>
      </c>
      <c r="B6">
        <v>5024.88</v>
      </c>
      <c r="C6">
        <v>4493.95</v>
      </c>
      <c r="D6" s="10">
        <f t="shared" ref="D6:D8" si="0">C6/B6-1</f>
        <v>-0.10566023467227081</v>
      </c>
    </row>
    <row r="7" spans="1:5">
      <c r="A7" s="4" t="s">
        <v>8</v>
      </c>
      <c r="B7" s="7">
        <v>4.2619999999999996</v>
      </c>
      <c r="C7">
        <v>4.3840000000000003</v>
      </c>
      <c r="D7" s="10">
        <f t="shared" si="0"/>
        <v>2.8625058657907321E-2</v>
      </c>
    </row>
    <row r="8" spans="1:5">
      <c r="A8" s="4" t="s">
        <v>9</v>
      </c>
      <c r="B8">
        <v>1.14299</v>
      </c>
      <c r="C8" s="7">
        <v>1.15716</v>
      </c>
      <c r="D8" s="10">
        <f t="shared" si="0"/>
        <v>1.2397308812850616E-2</v>
      </c>
    </row>
    <row r="11" spans="1:5">
      <c r="A11" s="14" t="s">
        <v>67</v>
      </c>
    </row>
    <row r="12" spans="1:5">
      <c r="B12" s="6" t="s">
        <v>123</v>
      </c>
      <c r="C12" s="6" t="s">
        <v>124</v>
      </c>
      <c r="D12" s="6" t="s">
        <v>125</v>
      </c>
    </row>
    <row r="13" spans="1:5">
      <c r="A13" s="4" t="s">
        <v>6</v>
      </c>
      <c r="B13" s="7">
        <v>6574.96</v>
      </c>
      <c r="C13" s="7">
        <v>6368.85</v>
      </c>
      <c r="D13" s="10">
        <f>C13/B13-1</f>
        <v>-3.1347719225668258E-2</v>
      </c>
    </row>
    <row r="14" spans="1:5">
      <c r="A14" s="4" t="s">
        <v>7</v>
      </c>
      <c r="B14" s="7">
        <v>4498.43</v>
      </c>
      <c r="C14" s="7">
        <v>4494.04</v>
      </c>
      <c r="D14" s="10">
        <f t="shared" ref="D14:D16" si="1">C14/B14-1</f>
        <v>-9.7589603483894116E-4</v>
      </c>
    </row>
    <row r="15" spans="1:5">
      <c r="A15" s="4" t="s">
        <v>8</v>
      </c>
      <c r="B15" s="7">
        <v>4.3920000000000003</v>
      </c>
      <c r="C15" s="7">
        <v>4.4320000000000004</v>
      </c>
      <c r="D15" s="10">
        <f t="shared" si="1"/>
        <v>9.1074681238616506E-3</v>
      </c>
    </row>
    <row r="16" spans="1:5">
      <c r="A16" s="4" t="s">
        <v>9</v>
      </c>
      <c r="B16" s="7">
        <v>1.1558299999999999</v>
      </c>
      <c r="C16" s="7">
        <v>1.1510100000000001</v>
      </c>
      <c r="D16" s="10">
        <f t="shared" si="1"/>
        <v>-4.1701634323385584E-3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12AAC7-CACA-45D2-9CC7-502C650327A0}">
  <dimension ref="A1:M37"/>
  <sheetViews>
    <sheetView topLeftCell="A10" workbookViewId="0">
      <selection activeCell="L23" sqref="L23:L37"/>
    </sheetView>
  </sheetViews>
  <sheetFormatPr defaultRowHeight="15"/>
  <cols>
    <col min="2" max="2" width="20.7109375" customWidth="1"/>
    <col min="3" max="3" width="16.42578125" customWidth="1"/>
    <col min="4" max="4" width="18.42578125" customWidth="1"/>
    <col min="6" max="6" width="9.5703125" bestFit="1" customWidth="1"/>
    <col min="10" max="10" width="12.42578125" customWidth="1"/>
    <col min="12" max="12" width="12.5703125" customWidth="1"/>
  </cols>
  <sheetData>
    <row r="1" spans="1:13">
      <c r="A1" s="4" t="s">
        <v>0</v>
      </c>
      <c r="B1" s="4" t="s">
        <v>1</v>
      </c>
    </row>
    <row r="3" spans="1:13">
      <c r="A3" s="1" t="s">
        <v>2</v>
      </c>
      <c r="B3" s="1" t="s">
        <v>3</v>
      </c>
      <c r="C3" s="1" t="s">
        <v>4</v>
      </c>
      <c r="D3" s="1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126</v>
      </c>
      <c r="L3" s="1" t="s">
        <v>10</v>
      </c>
      <c r="M3" s="6" t="s">
        <v>127</v>
      </c>
    </row>
    <row r="4" spans="1:13">
      <c r="A4" s="1" t="s">
        <v>11</v>
      </c>
      <c r="B4" s="2" t="s">
        <v>12</v>
      </c>
      <c r="C4" s="2" t="s">
        <v>13</v>
      </c>
      <c r="D4" s="2"/>
      <c r="F4" s="11">
        <f>ABS('I rok - obstawienia'!F4)+'I rok - obstawienia'!F4*'Ceny otwarcia i zamknięcia'!$D$5</f>
        <v>25.628860851286341</v>
      </c>
      <c r="G4" s="11">
        <f>ABS('I rok - obstawienia'!G4)+'I rok - obstawienia'!G4*'Ceny otwarcia i zamknięcia'!$D$6</f>
        <v>27.641505866806771</v>
      </c>
      <c r="H4" s="11">
        <f>ABS('I rok - obstawienia'!H4)+'I rok - obstawienia'!H4*'Ceny otwarcia i zamknięcia'!$D$7</f>
        <v>0</v>
      </c>
      <c r="I4" s="11">
        <f>ABS('I rok - obstawienia'!I4)+'I rok - obstawienia'!I4*'Ceny otwarcia i zamknięcia'!$D$8</f>
        <v>49.380134559357472</v>
      </c>
      <c r="J4" cm="1">
        <f t="array" ref="J4">100-SUM(ABS('I rok - obstawienia'!F4:I4))</f>
        <v>0</v>
      </c>
      <c r="L4" s="11">
        <f>SUM(F4:J4)</f>
        <v>102.65050127745059</v>
      </c>
      <c r="M4">
        <f>RANK(L4,$L$4:$L$18,0)</f>
        <v>5</v>
      </c>
    </row>
    <row r="5" spans="1:13">
      <c r="A5" s="1" t="s">
        <v>14</v>
      </c>
      <c r="B5" s="2" t="s">
        <v>15</v>
      </c>
      <c r="C5" s="2" t="s">
        <v>16</v>
      </c>
      <c r="D5" s="2" t="s">
        <v>17</v>
      </c>
      <c r="F5" s="11">
        <f>ABS('I rok - obstawienia'!F5)+'I rok - obstawienia'!F5*'Ceny otwarcia i zamknięcia'!$D$5</f>
        <v>51.257721702572681</v>
      </c>
      <c r="G5" s="11">
        <f>ABS('I rok - obstawienia'!G5)+'I rok - obstawienia'!G5*'Ceny otwarcia i zamknięcia'!$D$6</f>
        <v>26.830192959831876</v>
      </c>
      <c r="H5" s="11">
        <f>ABS('I rok - obstawienia'!H5)+'I rok - obstawienia'!H5*'Ceny otwarcia i zamknięcia'!$D$7</f>
        <v>20.572501173158145</v>
      </c>
      <c r="I5" s="11">
        <f>ABS('I rok - obstawienia'!I5)+'I rok - obstawienia'!I5*'Ceny otwarcia i zamknięcia'!$D$8</f>
        <v>0</v>
      </c>
      <c r="J5" cm="1">
        <f t="array" ref="J5">100-SUM(ABS('I rok - obstawienia'!F5:I5))</f>
        <v>0</v>
      </c>
      <c r="L5" s="11">
        <f t="shared" ref="L5:L18" si="0">SUM(F5:J5)</f>
        <v>98.660415835562702</v>
      </c>
      <c r="M5">
        <f t="shared" ref="M5:M18" si="1">RANK(L5,$L$4:$L$18,0)</f>
        <v>11</v>
      </c>
    </row>
    <row r="6" spans="1:13">
      <c r="A6" s="1" t="s">
        <v>18</v>
      </c>
      <c r="B6" s="2" t="s">
        <v>19</v>
      </c>
      <c r="C6" s="2" t="s">
        <v>20</v>
      </c>
      <c r="D6" s="2" t="s">
        <v>21</v>
      </c>
      <c r="F6" s="11">
        <f>ABS('I rok - obstawienia'!F6)+'I rok - obstawienia'!F6*'Ceny otwarcia i zamknięcia'!$D$5</f>
        <v>20.50308868102907</v>
      </c>
      <c r="G6" s="11">
        <f>ABS('I rok - obstawienia'!G6)+'I rok - obstawienia'!G6*'Ceny otwarcia i zamknięcia'!$D$6</f>
        <v>11.056602346722709</v>
      </c>
      <c r="H6" s="11">
        <f>ABS('I rok - obstawienia'!H6)+'I rok - obstawienia'!H6*'Ceny otwarcia i zamknięcia'!$D$7</f>
        <v>46.288127639605833</v>
      </c>
      <c r="I6" s="11">
        <f>ABS('I rok - obstawienia'!I6)+'I rok - obstawienia'!I6*'Ceny otwarcia i zamknięcia'!$D$8</f>
        <v>24.690067279678736</v>
      </c>
      <c r="J6" cm="1">
        <f t="array" ref="J6">100-SUM(ABS('I rok - obstawienia'!F6:I6))</f>
        <v>0</v>
      </c>
      <c r="L6" s="11">
        <f t="shared" si="0"/>
        <v>102.53788594703636</v>
      </c>
      <c r="M6">
        <f t="shared" si="1"/>
        <v>6</v>
      </c>
    </row>
    <row r="7" spans="1:13">
      <c r="A7" s="1" t="s">
        <v>22</v>
      </c>
      <c r="B7" s="2" t="s">
        <v>23</v>
      </c>
      <c r="C7" s="2" t="s">
        <v>24</v>
      </c>
      <c r="D7" s="2" t="s">
        <v>25</v>
      </c>
      <c r="F7" s="11">
        <f>ABS('I rok - obstawienia'!F7)+'I rok - obstawienia'!F7*'Ceny otwarcia i zamknięcia'!$D$5</f>
        <v>35.880405191800875</v>
      </c>
      <c r="G7" s="11">
        <f>ABS('I rok - obstawienia'!G7)+'I rok - obstawienia'!G7*'Ceny otwarcia i zamknięcia'!$D$6</f>
        <v>0</v>
      </c>
      <c r="H7" s="11">
        <f>ABS('I rok - obstawienia'!H7)+'I rok - obstawienia'!H7*'Ceny otwarcia i zamknięcia'!$D$7</f>
        <v>46.288127639605833</v>
      </c>
      <c r="I7" s="11">
        <f>ABS('I rok - obstawienia'!I7)+'I rok - obstawienia'!I7*'Ceny otwarcia i zamknięcia'!$D$8</f>
        <v>19.752053823742987</v>
      </c>
      <c r="J7" cm="1">
        <f t="array" ref="J7">100-SUM(ABS('I rok - obstawienia'!F7:I7))</f>
        <v>0</v>
      </c>
      <c r="L7" s="11">
        <f t="shared" si="0"/>
        <v>101.92058665514969</v>
      </c>
      <c r="M7">
        <f t="shared" si="1"/>
        <v>8</v>
      </c>
    </row>
    <row r="8" spans="1:13">
      <c r="A8" s="1" t="s">
        <v>26</v>
      </c>
      <c r="B8" s="2" t="s">
        <v>27</v>
      </c>
      <c r="C8" s="2" t="s">
        <v>28</v>
      </c>
      <c r="D8" s="2" t="s">
        <v>29</v>
      </c>
      <c r="F8" s="11">
        <f>ABS('I rok - obstawienia'!F8)+'I rok - obstawienia'!F8*'Ceny otwarcia i zamknięcia'!$D$5</f>
        <v>35.880405191800875</v>
      </c>
      <c r="G8" s="11">
        <f>ABS('I rok - obstawienia'!G8)+'I rok - obstawienia'!G8*'Ceny otwarcia i zamknięcia'!$D$6</f>
        <v>31.30189178647052</v>
      </c>
      <c r="H8" s="11">
        <f>ABS('I rok - obstawienia'!H8)+'I rok - obstawienia'!H8*'Ceny otwarcia i zamknięcia'!$D$7</f>
        <v>14.57062412013139</v>
      </c>
      <c r="I8" s="11">
        <f>ABS('I rok - obstawienia'!I8)+'I rok - obstawienia'!I8*'Ceny otwarcia i zamknięcia'!$D$8</f>
        <v>15.185959632192759</v>
      </c>
      <c r="J8" cm="1">
        <f t="array" ref="J8">100-SUM(ABS('I rok - obstawienia'!F8:I8))</f>
        <v>0</v>
      </c>
      <c r="L8" s="11">
        <f t="shared" si="0"/>
        <v>96.938880730595542</v>
      </c>
      <c r="M8">
        <f t="shared" si="1"/>
        <v>15</v>
      </c>
    </row>
    <row r="9" spans="1:13">
      <c r="A9" s="1" t="s">
        <v>30</v>
      </c>
      <c r="B9" s="2" t="s">
        <v>31</v>
      </c>
      <c r="C9" s="2" t="s">
        <v>32</v>
      </c>
      <c r="D9" s="2" t="s">
        <v>33</v>
      </c>
      <c r="F9" s="11">
        <f>ABS('I rok - obstawienia'!F9)+'I rok - obstawienia'!F9*'Ceny otwarcia i zamknięcia'!$D$5</f>
        <v>68.239189616398249</v>
      </c>
      <c r="G9" s="11">
        <f>ABS('I rok - obstawienia'!G9)+'I rok - obstawienia'!G9*'Ceny otwarcia i zamknięcia'!$D$6</f>
        <v>0</v>
      </c>
      <c r="H9" s="11">
        <f>ABS('I rok - obstawienia'!H9)+'I rok - obstawienia'!H9*'Ceny otwarcia i zamknięcia'!$D$7</f>
        <v>0</v>
      </c>
      <c r="I9" s="11">
        <f>ABS('I rok - obstawienia'!I9)+'I rok - obstawienia'!I9*'Ceny otwarcia i zamknięcia'!$D$8</f>
        <v>30.371919264385518</v>
      </c>
      <c r="J9" cm="1">
        <f t="array" ref="J9">100-SUM(ABS('I rok - obstawienia'!F9:I9))</f>
        <v>0</v>
      </c>
      <c r="L9" s="11">
        <f t="shared" si="0"/>
        <v>98.611108880783775</v>
      </c>
      <c r="M9">
        <f t="shared" si="1"/>
        <v>12</v>
      </c>
    </row>
    <row r="10" spans="1:13">
      <c r="A10" s="1" t="s">
        <v>34</v>
      </c>
      <c r="B10" s="2" t="s">
        <v>35</v>
      </c>
      <c r="C10" s="2" t="s">
        <v>36</v>
      </c>
      <c r="D10" s="2" t="s">
        <v>37</v>
      </c>
      <c r="F10" s="11">
        <f>ABS('I rok - obstawienia'!F10)+'I rok - obstawienia'!F10*'Ceny otwarcia i zamknięcia'!$D$5</f>
        <v>30.754633021543608</v>
      </c>
      <c r="G10" s="11">
        <f>ABS('I rok - obstawienia'!G10)+'I rok - obstawienia'!G10*'Ceny otwarcia i zamknięcia'!$D$6</f>
        <v>33.169807040168124</v>
      </c>
      <c r="H10" s="11">
        <f>ABS('I rok - obstawienia'!H10)+'I rok - obstawienia'!H10*'Ceny otwarcia i zamknięcia'!$D$7</f>
        <v>0</v>
      </c>
      <c r="I10" s="11">
        <f>ABS('I rok - obstawienia'!I10)+'I rok - obstawienia'!I10*'Ceny otwarcia i zamknięcia'!$D$8</f>
        <v>39.504107647485974</v>
      </c>
      <c r="J10" cm="1">
        <f t="array" ref="J10">100-SUM(ABS('I rok - obstawienia'!F10:I10))</f>
        <v>0</v>
      </c>
      <c r="L10" s="11">
        <f t="shared" si="0"/>
        <v>103.42854770919772</v>
      </c>
      <c r="M10">
        <f t="shared" si="1"/>
        <v>3</v>
      </c>
    </row>
    <row r="11" spans="1:13">
      <c r="A11" s="1" t="s">
        <v>38</v>
      </c>
      <c r="B11" s="2" t="s">
        <v>39</v>
      </c>
      <c r="C11" s="2" t="s">
        <v>40</v>
      </c>
      <c r="D11" s="2" t="s">
        <v>41</v>
      </c>
      <c r="F11" s="11">
        <f>ABS('I rok - obstawienia'!F11)+'I rok - obstawienia'!F11*'Ceny otwarcia i zamknięcia'!$D$5</f>
        <v>38.993822637941861</v>
      </c>
      <c r="G11" s="11">
        <f>ABS('I rok - obstawienia'!G11)+'I rok - obstawienia'!G11*'Ceny otwarcia i zamknięcia'!$D$6</f>
        <v>17.886795306554582</v>
      </c>
      <c r="H11" s="11">
        <f>ABS('I rok - obstawienia'!H11)+'I rok - obstawienia'!H11*'Ceny otwarcia i zamknięcia'!$D$7</f>
        <v>20.572501173158145</v>
      </c>
      <c r="I11" s="11">
        <f>ABS('I rok - obstawienia'!I11)+'I rok - obstawienia'!I11*'Ceny otwarcia i zamknięcia'!$D$8</f>
        <v>20.247946176257013</v>
      </c>
      <c r="J11" cm="1">
        <f t="array" ref="J11">100-SUM(ABS('I rok - obstawienia'!F11:I11))</f>
        <v>0</v>
      </c>
      <c r="L11" s="11">
        <f t="shared" si="0"/>
        <v>97.701065293911597</v>
      </c>
      <c r="M11">
        <f t="shared" si="1"/>
        <v>13</v>
      </c>
    </row>
    <row r="12" spans="1:13">
      <c r="A12" s="1" t="s">
        <v>42</v>
      </c>
      <c r="B12" s="2" t="s">
        <v>43</v>
      </c>
      <c r="C12" s="2" t="s">
        <v>44</v>
      </c>
      <c r="D12" s="2" t="s">
        <v>45</v>
      </c>
      <c r="F12" s="11">
        <f>ABS('I rok - obstawienia'!F12)+'I rok - obstawienia'!F12*'Ceny otwarcia i zamknięcia'!$D$5</f>
        <v>0</v>
      </c>
      <c r="G12" s="11">
        <f>ABS('I rok - obstawienia'!G12)+'I rok - obstawienia'!G12*'Ceny otwarcia i zamknięcia'!$D$6</f>
        <v>0</v>
      </c>
      <c r="H12" s="11">
        <f>ABS('I rok - obstawienia'!H12)+'I rok - obstawienia'!H12*'Ceny otwarcia i zamknięcia'!$D$7</f>
        <v>20.572501173158145</v>
      </c>
      <c r="I12" s="11">
        <f>ABS('I rok - obstawienia'!I12)+'I rok - obstawienia'!I12*'Ceny otwarcia i zamknięcia'!$D$8</f>
        <v>0</v>
      </c>
      <c r="J12" cm="1">
        <f t="array" ref="J12">100-SUM(ABS('I rok - obstawienia'!F12:I12))</f>
        <v>80</v>
      </c>
      <c r="L12" s="11">
        <f t="shared" si="0"/>
        <v>100.57250117315814</v>
      </c>
      <c r="M12">
        <f t="shared" si="1"/>
        <v>9</v>
      </c>
    </row>
    <row r="13" spans="1:13">
      <c r="A13" s="1" t="s">
        <v>46</v>
      </c>
      <c r="B13" s="2" t="s">
        <v>47</v>
      </c>
      <c r="C13" s="2" t="s">
        <v>48</v>
      </c>
      <c r="D13" s="2" t="s">
        <v>49</v>
      </c>
      <c r="F13" s="11">
        <f>ABS('I rok - obstawienia'!F13)+'I rok - obstawienia'!F13*'Ceny otwarcia i zamknięcia'!$D$5</f>
        <v>0</v>
      </c>
      <c r="G13" s="11">
        <f>ABS('I rok - obstawienia'!G13)+'I rok - obstawienia'!G13*'Ceny otwarcia i zamknięcia'!$D$6</f>
        <v>33.169807040168124</v>
      </c>
      <c r="H13" s="11">
        <f>ABS('I rok - obstawienia'!H13)+'I rok - obstawienia'!H13*'Ceny otwarcia i zamknięcia'!$D$7</f>
        <v>41.145002346316289</v>
      </c>
      <c r="I13" s="11">
        <f>ABS('I rok - obstawienia'!I13)+'I rok - obstawienia'!I13*'Ceny otwarcia i zamknięcia'!$D$8</f>
        <v>29.628080735614482</v>
      </c>
      <c r="J13" cm="1">
        <f t="array" ref="J13">100-SUM(ABS('I rok - obstawienia'!F13:I13))</f>
        <v>0</v>
      </c>
      <c r="L13" s="11">
        <f t="shared" si="0"/>
        <v>103.9428901220989</v>
      </c>
      <c r="M13">
        <f t="shared" si="1"/>
        <v>2</v>
      </c>
    </row>
    <row r="14" spans="1:13">
      <c r="A14" s="1" t="s">
        <v>50</v>
      </c>
      <c r="B14" s="2" t="s">
        <v>51</v>
      </c>
      <c r="C14" s="2" t="s">
        <v>52</v>
      </c>
      <c r="D14" s="2" t="s">
        <v>53</v>
      </c>
      <c r="F14" s="11">
        <f>ABS('I rok - obstawienia'!F14)+'I rok - obstawienia'!F14*'Ceny otwarcia i zamknięcia'!$D$5</f>
        <v>24.371139148713659</v>
      </c>
      <c r="G14" s="11">
        <f>ABS('I rok - obstawienia'!G14)+'I rok - obstawienia'!G14*'Ceny otwarcia i zamknięcia'!$D$6</f>
        <v>27.641505866806771</v>
      </c>
      <c r="H14" s="11">
        <f>ABS('I rok - obstawienia'!H14)+'I rok - obstawienia'!H14*'Ceny otwarcia i zamknięcia'!$D$7</f>
        <v>25.715626466447684</v>
      </c>
      <c r="I14" s="11">
        <f>ABS('I rok - obstawienia'!I14)+'I rok - obstawienia'!I14*'Ceny otwarcia i zamknięcia'!$D$8</f>
        <v>24.690067279678736</v>
      </c>
      <c r="J14" cm="1">
        <f t="array" ref="J14">100-SUM(ABS('I rok - obstawienia'!F14:I14))</f>
        <v>0</v>
      </c>
      <c r="L14" s="11">
        <f t="shared" si="0"/>
        <v>102.41833876164685</v>
      </c>
      <c r="M14">
        <f t="shared" si="1"/>
        <v>7</v>
      </c>
    </row>
    <row r="15" spans="1:13">
      <c r="A15" s="1" t="s">
        <v>54</v>
      </c>
      <c r="B15" s="2" t="s">
        <v>55</v>
      </c>
      <c r="C15" s="3" t="s">
        <v>56</v>
      </c>
      <c r="D15" s="2"/>
      <c r="F15" s="11">
        <f>ABS('I rok - obstawienia'!F15)+'I rok - obstawienia'!F15*'Ceny otwarcia i zamknięcia'!$D$5</f>
        <v>61.509266043087216</v>
      </c>
      <c r="G15" s="11">
        <f>ABS('I rok - obstawienia'!G15)+'I rok - obstawienia'!G15*'Ceny otwarcia i zamknięcia'!$D$6</f>
        <v>0</v>
      </c>
      <c r="H15" s="11">
        <f>ABS('I rok - obstawienia'!H15)+'I rok - obstawienia'!H15*'Ceny otwarcia i zamknięcia'!$D$7</f>
        <v>41.145002346316289</v>
      </c>
      <c r="I15" s="11">
        <f>ABS('I rok - obstawienia'!I15)+'I rok - obstawienia'!I15*'Ceny otwarcia i zamknięcia'!$D$8</f>
        <v>0</v>
      </c>
      <c r="J15" cm="1">
        <f t="array" ref="J15">100-SUM(ABS('I rok - obstawienia'!F15:I15))</f>
        <v>0</v>
      </c>
      <c r="L15" s="11">
        <f t="shared" si="0"/>
        <v>102.65426838940351</v>
      </c>
      <c r="M15">
        <f t="shared" si="1"/>
        <v>4</v>
      </c>
    </row>
    <row r="16" spans="1:13">
      <c r="A16" s="1" t="s">
        <v>57</v>
      </c>
      <c r="B16" s="2" t="s">
        <v>58</v>
      </c>
      <c r="C16" s="2" t="s">
        <v>59</v>
      </c>
      <c r="D16" s="2" t="s">
        <v>60</v>
      </c>
      <c r="F16" s="11">
        <f>ABS('I rok - obstawienia'!F16)+'I rok - obstawienia'!F16*'Ceny otwarcia i zamknięcia'!$D$5</f>
        <v>0</v>
      </c>
      <c r="G16" s="11">
        <f>ABS('I rok - obstawienia'!G16)+'I rok - obstawienia'!G16*'Ceny otwarcia i zamknięcia'!$D$6</f>
        <v>55.283011733613542</v>
      </c>
      <c r="H16" s="11">
        <f>ABS('I rok - obstawienia'!H16)+'I rok - obstawienia'!H16*'Ceny otwarcia i zamknięcia'!$D$7</f>
        <v>51.431252932895369</v>
      </c>
      <c r="I16" s="11">
        <f>ABS('I rok - obstawienia'!I16)+'I rok - obstawienia'!I16*'Ceny otwarcia i zamknięcia'!$D$8</f>
        <v>0</v>
      </c>
      <c r="J16" cm="1">
        <f t="array" ref="J16">100-SUM(ABS('I rok - obstawienia'!F16:I16))</f>
        <v>0</v>
      </c>
      <c r="L16" s="11">
        <f t="shared" si="0"/>
        <v>106.71426466650891</v>
      </c>
      <c r="M16">
        <f t="shared" si="1"/>
        <v>1</v>
      </c>
    </row>
    <row r="17" spans="1:13">
      <c r="A17" s="1" t="s">
        <v>61</v>
      </c>
      <c r="B17" s="2" t="s">
        <v>62</v>
      </c>
      <c r="C17" s="2" t="s">
        <v>63</v>
      </c>
      <c r="D17" s="2"/>
      <c r="F17" s="11">
        <f>ABS('I rok - obstawienia'!F17)+'I rok - obstawienia'!F17*'Ceny otwarcia i zamknięcia'!$D$5</f>
        <v>48.742278297427319</v>
      </c>
      <c r="G17" s="11">
        <f>ABS('I rok - obstawienia'!G17)+'I rok - obstawienia'!G17*'Ceny otwarcia i zamknięcia'!$D$6</f>
        <v>0</v>
      </c>
      <c r="H17" s="11">
        <f>ABS('I rok - obstawienia'!H17)+'I rok - obstawienia'!H17*'Ceny otwarcia i zamknięcia'!$D$7</f>
        <v>0</v>
      </c>
      <c r="I17" s="11">
        <f>ABS('I rok - obstawienia'!I17)+'I rok - obstawienia'!I17*'Ceny otwarcia i zamknięcia'!$D$8</f>
        <v>0</v>
      </c>
      <c r="J17" cm="1">
        <f t="array" ref="J17">100-SUM(ABS('I rok - obstawienia'!F17:I17))</f>
        <v>50</v>
      </c>
      <c r="L17" s="11">
        <f t="shared" si="0"/>
        <v>98.742278297427319</v>
      </c>
      <c r="M17">
        <f t="shared" si="1"/>
        <v>10</v>
      </c>
    </row>
    <row r="18" spans="1:13">
      <c r="A18" s="1" t="s">
        <v>64</v>
      </c>
      <c r="B18" s="2" t="s">
        <v>65</v>
      </c>
      <c r="C18" s="2" t="s">
        <v>66</v>
      </c>
      <c r="D18" s="2"/>
      <c r="F18" s="11">
        <f>ABS('I rok - obstawienia'!F18)+'I rok - obstawienia'!F18*'Ceny otwarcia i zamknięcia'!$D$5</f>
        <v>9.7484556594854652</v>
      </c>
      <c r="G18" s="11">
        <f>ABS('I rok - obstawienia'!G18)+'I rok - obstawienia'!G18*'Ceny otwarcia i zamknięcia'!$D$6</f>
        <v>35.773590613109164</v>
      </c>
      <c r="H18" s="11">
        <f>ABS('I rok - obstawienia'!H18)+'I rok - obstawienia'!H18*'Ceny otwarcia i zamknięcia'!$D$7</f>
        <v>51.431252932895369</v>
      </c>
      <c r="I18" s="11">
        <f>ABS('I rok - obstawienia'!I18)+'I rok - obstawienia'!I18*'Ceny otwarcia i zamknięcia'!$D$8</f>
        <v>0</v>
      </c>
      <c r="J18" cm="1">
        <f t="array" ref="J18">100-SUM(ABS('I rok - obstawienia'!F18:I18))</f>
        <v>0</v>
      </c>
      <c r="L18" s="11">
        <f t="shared" si="0"/>
        <v>96.953299205489998</v>
      </c>
      <c r="M18">
        <f t="shared" si="1"/>
        <v>14</v>
      </c>
    </row>
    <row r="21" spans="1:13">
      <c r="A21" s="4" t="s">
        <v>0</v>
      </c>
      <c r="B21" s="4" t="s">
        <v>67</v>
      </c>
    </row>
    <row r="22" spans="1:13">
      <c r="A22" s="1" t="s">
        <v>2</v>
      </c>
      <c r="B22" s="1" t="s">
        <v>3</v>
      </c>
      <c r="C22" s="1" t="s">
        <v>4</v>
      </c>
      <c r="D22" s="1" t="s">
        <v>5</v>
      </c>
      <c r="F22" s="4" t="s">
        <v>6</v>
      </c>
      <c r="G22" s="4" t="s">
        <v>7</v>
      </c>
      <c r="H22" s="4" t="s">
        <v>8</v>
      </c>
      <c r="I22" s="4" t="s">
        <v>9</v>
      </c>
      <c r="J22" s="4" t="s">
        <v>126</v>
      </c>
      <c r="L22" s="1" t="s">
        <v>10</v>
      </c>
      <c r="M22" s="6" t="s">
        <v>127</v>
      </c>
    </row>
    <row r="23" spans="1:13">
      <c r="A23" s="1" t="s">
        <v>11</v>
      </c>
      <c r="B23" s="2" t="s">
        <v>12</v>
      </c>
      <c r="C23" s="2" t="s">
        <v>13</v>
      </c>
      <c r="D23" s="2"/>
      <c r="F23" s="11">
        <f>ABS('I rok - obstawienia'!F24)+'I rok - obstawienia'!F24*'Ceny otwarcia i zamknięcia'!$D$13</f>
        <v>50.999542582768562</v>
      </c>
      <c r="G23" s="11">
        <f>ABS('I rok - obstawienia'!G24)+'I rok - obstawienia'!G24*'Ceny otwarcia i zamknięcia'!$D$14</f>
        <v>49.951205198258052</v>
      </c>
      <c r="H23" s="11">
        <f>ABS('I rok - obstawienia'!H24)+'I rok - obstawienia'!H24*'Ceny otwarcia i zamknięcia'!$D$15</f>
        <v>0</v>
      </c>
      <c r="I23" s="11">
        <f>ABS('I rok - obstawienia'!I24)+'I rok - obstawienia'!I24*'Ceny otwarcia i zamknięcia'!$D$16</f>
        <v>0</v>
      </c>
      <c r="J23" s="11" cm="1">
        <f t="array" ref="J23">L4-SUM(ABS('I rok - obstawienia'!F24:I24))</f>
        <v>5.0127745058148321E-4</v>
      </c>
      <c r="L23" s="11">
        <f>SUM(F23:J23)</f>
        <v>100.9512490584772</v>
      </c>
      <c r="M23">
        <f>RANK(L23,$L$23:$L$37,0)</f>
        <v>8</v>
      </c>
    </row>
    <row r="24" spans="1:13">
      <c r="A24" s="1" t="s">
        <v>14</v>
      </c>
      <c r="B24" s="2" t="s">
        <v>15</v>
      </c>
      <c r="C24" s="2" t="s">
        <v>16</v>
      </c>
      <c r="D24" s="2" t="s">
        <v>17</v>
      </c>
      <c r="F24" s="11">
        <f>ABS('I rok - obstawienia'!F25)+'I rok - obstawienia'!F25*'Ceny otwarcia i zamknięcia'!$D$13</f>
        <v>41.253908769026729</v>
      </c>
      <c r="G24" s="11">
        <f>ABS('I rok - obstawienia'!G25)+'I rok - obstawienia'!G25*'Ceny otwarcia i zamknięcia'!$D$14</f>
        <v>19.980482079303222</v>
      </c>
      <c r="H24" s="11">
        <f>ABS('I rok - obstawienia'!H25)+'I rok - obstawienia'!H25*'Ceny otwarcia i zamknięcia'!$D$15</f>
        <v>20.182149362477233</v>
      </c>
      <c r="I24" s="11">
        <f>ABS('I rok - obstawienia'!I25)+'I rok - obstawienia'!I25*'Ceny otwarcia i zamknięcia'!$D$16</f>
        <v>18.737815249647436</v>
      </c>
      <c r="J24" s="11" cm="1">
        <f t="array" ref="J24">L5-SUM(ABS('I rok - obstawienia'!F25:I25))</f>
        <v>4.1583556270552435E-4</v>
      </c>
      <c r="L24" s="11">
        <f t="shared" ref="L24:L37" si="2">SUM(F24:J24)</f>
        <v>100.15477129601733</v>
      </c>
      <c r="M24">
        <f t="shared" ref="M24:M37" si="3">RANK(L24,$L$23:$L$37,0)</f>
        <v>9</v>
      </c>
    </row>
    <row r="25" spans="1:13">
      <c r="A25" s="1" t="s">
        <v>18</v>
      </c>
      <c r="B25" s="2" t="s">
        <v>19</v>
      </c>
      <c r="C25" s="2" t="s">
        <v>20</v>
      </c>
      <c r="D25" s="2" t="s">
        <v>21</v>
      </c>
      <c r="F25" s="11">
        <f>ABS('I rok - obstawienia'!F26)+'I rok - obstawienia'!F26*'Ceny otwarcia i zamknięcia'!$D$13</f>
        <v>20.626954384513365</v>
      </c>
      <c r="G25" s="11">
        <f>ABS('I rok - obstawienia'!G26)+'I rok - obstawienia'!G26*'Ceny otwarcia i zamknięcia'!$D$14</f>
        <v>0</v>
      </c>
      <c r="H25" s="11">
        <f>ABS('I rok - obstawienia'!H26)+'I rok - obstawienia'!H26*'Ceny otwarcia i zamknięcia'!$D$15</f>
        <v>53.018506375227687</v>
      </c>
      <c r="I25" s="11">
        <f>ABS('I rok - obstawienia'!I26)+'I rok - obstawienia'!I26*'Ceny otwarcia i zamknięcia'!$D$16</f>
        <v>30.125104902970158</v>
      </c>
      <c r="J25" s="11" cm="1">
        <f t="array" ref="J25">L6-SUM(ABS('I rok - obstawienia'!F26:I26))</f>
        <v>-2.1140529636340943E-3</v>
      </c>
      <c r="L25" s="11">
        <f t="shared" si="2"/>
        <v>103.76845160974759</v>
      </c>
      <c r="M25">
        <f t="shared" si="3"/>
        <v>4</v>
      </c>
    </row>
    <row r="26" spans="1:13">
      <c r="A26" s="1" t="s">
        <v>22</v>
      </c>
      <c r="B26" s="2" t="s">
        <v>23</v>
      </c>
      <c r="C26" s="2" t="s">
        <v>24</v>
      </c>
      <c r="D26" s="2" t="s">
        <v>25</v>
      </c>
      <c r="F26" s="11">
        <f>ABS('I rok - obstawienia'!F27)+'I rok - obstawienia'!F27*'Ceny otwarcia i zamknięcia'!$D$13</f>
        <v>51.567385961283414</v>
      </c>
      <c r="G26" s="11">
        <f>ABS('I rok - obstawienia'!G27)+'I rok - obstawienia'!G27*'Ceny otwarcia i zamknięcia'!$D$14</f>
        <v>20.019517920696778</v>
      </c>
      <c r="H26" s="11">
        <f>ABS('I rok - obstawienia'!H27)+'I rok - obstawienia'!H27*'Ceny otwarcia i zamknięcia'!$D$15</f>
        <v>30.27322404371585</v>
      </c>
      <c r="I26" s="11">
        <f>ABS('I rok - obstawienia'!I27)+'I rok - obstawienia'!I27*'Ceny otwarcia i zamknięcia'!$D$16</f>
        <v>0</v>
      </c>
      <c r="J26" s="11" cm="1">
        <f t="array" ref="J26">L7-SUM(ABS('I rok - obstawienia'!F27:I27))</f>
        <v>1.9205866551496911</v>
      </c>
      <c r="L26" s="11">
        <f t="shared" si="2"/>
        <v>103.78071458084574</v>
      </c>
      <c r="M26">
        <f t="shared" si="3"/>
        <v>3</v>
      </c>
    </row>
    <row r="27" spans="1:13">
      <c r="A27" s="1" t="s">
        <v>26</v>
      </c>
      <c r="B27" s="2" t="s">
        <v>27</v>
      </c>
      <c r="C27" s="2" t="s">
        <v>28</v>
      </c>
      <c r="D27" s="2" t="s">
        <v>29</v>
      </c>
      <c r="F27" s="11">
        <f>ABS('I rok - obstawienia'!F28)+'I rok - obstawienia'!F28*'Ceny otwarcia i zamknięcia'!$D$13</f>
        <v>20.626954384513365</v>
      </c>
      <c r="G27" s="11">
        <f>ABS('I rok - obstawienia'!G28)+'I rok - obstawienia'!G28*'Ceny otwarcia i zamknięcia'!$D$14</f>
        <v>50.048794801741948</v>
      </c>
      <c r="H27" s="11">
        <f>ABS('I rok - obstawienia'!H28)+'I rok - obstawienia'!H28*'Ceny otwarcia i zamknięcia'!$D$15</f>
        <v>27.185355191256836</v>
      </c>
      <c r="I27" s="11">
        <f>ABS('I rok - obstawienia'!I28)+'I rok - obstawienia'!I28*'Ceny otwarcia i zamknięcia'!$D$16</f>
        <v>0</v>
      </c>
      <c r="J27" s="11" cm="1">
        <f t="array" ref="J27">L8-SUM(ABS('I rok - obstawienia'!F28:I28))</f>
        <v>-1.1192694044552809E-3</v>
      </c>
      <c r="L27" s="11">
        <f t="shared" si="2"/>
        <v>97.859985108107693</v>
      </c>
      <c r="M27">
        <f t="shared" si="3"/>
        <v>13</v>
      </c>
    </row>
    <row r="28" spans="1:13">
      <c r="A28" s="1" t="s">
        <v>30</v>
      </c>
      <c r="B28" s="2" t="s">
        <v>31</v>
      </c>
      <c r="C28" s="2" t="s">
        <v>32</v>
      </c>
      <c r="D28" s="2" t="s">
        <v>33</v>
      </c>
      <c r="F28" s="11">
        <f>ABS('I rok - obstawienia'!F29)+'I rok - obstawienia'!F29*'Ceny otwarcia i zamknięcia'!$D$13</f>
        <v>31.839600469052282</v>
      </c>
      <c r="G28" s="11">
        <f>ABS('I rok - obstawienia'!G29)+'I rok - obstawienia'!G29*'Ceny otwarcia i zamknięcia'!$D$14</f>
        <v>0</v>
      </c>
      <c r="H28" s="11">
        <f>ABS('I rok - obstawienia'!H29)+'I rok - obstawienia'!H29*'Ceny otwarcia i zamknięcia'!$D$15</f>
        <v>33.169362477231331</v>
      </c>
      <c r="I28" s="11">
        <f>ABS('I rok - obstawienia'!I29)+'I rok - obstawienia'!I29*'Ceny otwarcia i zamknięcia'!$D$16</f>
        <v>33.007073272020968</v>
      </c>
      <c r="J28" s="11" cm="1">
        <f t="array" ref="J28">L9-SUM(ABS('I rok - obstawienia'!F29:I29))</f>
        <v>1.1088807837893455E-3</v>
      </c>
      <c r="L28" s="11">
        <f t="shared" si="2"/>
        <v>98.017145099088367</v>
      </c>
      <c r="M28">
        <f t="shared" si="3"/>
        <v>12</v>
      </c>
    </row>
    <row r="29" spans="1:13">
      <c r="A29" s="1" t="s">
        <v>34</v>
      </c>
      <c r="B29" s="2" t="s">
        <v>35</v>
      </c>
      <c r="C29" s="2" t="s">
        <v>36</v>
      </c>
      <c r="D29" s="2" t="s">
        <v>37</v>
      </c>
      <c r="F29" s="11">
        <f>ABS('I rok - obstawienia'!F30)+'I rok - obstawienia'!F30*'Ceny otwarcia i zamknięcia'!$D$13</f>
        <v>43.589352634844929</v>
      </c>
      <c r="G29" s="11">
        <f>ABS('I rok - obstawienia'!G30)+'I rok - obstawienia'!G30*'Ceny otwarcia i zamknięcia'!$D$14</f>
        <v>35.03415636121936</v>
      </c>
      <c r="H29" s="11">
        <f>ABS('I rok - obstawienia'!H30)+'I rok - obstawienia'!H30*'Ceny otwarcia i zamknięcia'!$D$15</f>
        <v>0</v>
      </c>
      <c r="I29" s="11">
        <f>ABS('I rok - obstawienia'!I30)+'I rok - obstawienia'!I30*'Ceny otwarcia i zamknięcia'!$D$16</f>
        <v>0</v>
      </c>
      <c r="J29" s="11" cm="1">
        <f t="array" ref="J29">L10-SUM(ABS('I rok - obstawienia'!F30:I30))</f>
        <v>23.428547709197716</v>
      </c>
      <c r="L29" s="11">
        <f t="shared" si="2"/>
        <v>102.052056705262</v>
      </c>
      <c r="M29">
        <f t="shared" si="3"/>
        <v>7</v>
      </c>
    </row>
    <row r="30" spans="1:13">
      <c r="A30" s="1" t="s">
        <v>38</v>
      </c>
      <c r="B30" s="2" t="s">
        <v>39</v>
      </c>
      <c r="C30" s="2" t="s">
        <v>40</v>
      </c>
      <c r="D30" s="2" t="s">
        <v>41</v>
      </c>
      <c r="F30" s="11">
        <f>ABS('I rok - obstawienia'!F31)+'I rok - obstawienia'!F31*'Ceny otwarcia i zamknięcia'!$D$13</f>
        <v>51.567385961283414</v>
      </c>
      <c r="G30" s="11">
        <f>ABS('I rok - obstawienia'!G31)+'I rok - obstawienia'!G31*'Ceny otwarcia i zamknięcia'!$D$14</f>
        <v>27.727032320165037</v>
      </c>
      <c r="H30" s="11">
        <f>ABS('I rok - obstawienia'!H31)+'I rok - obstawienia'!H31*'Ceny otwarcia i zamknięcia'!$D$15</f>
        <v>0</v>
      </c>
      <c r="I30" s="11">
        <f>ABS('I rok - obstawienia'!I31)+'I rok - obstawienia'!I31*'Ceny otwarcia i zamknięcia'!$D$16</f>
        <v>19.916596731353231</v>
      </c>
      <c r="J30" s="11" cm="1">
        <f t="array" ref="J30">L11-SUM(ABS('I rok - obstawienia'!F31:I31))</f>
        <v>1.0652939115942672E-3</v>
      </c>
      <c r="L30" s="11">
        <f t="shared" si="2"/>
        <v>99.212080306713275</v>
      </c>
      <c r="M30">
        <f t="shared" si="3"/>
        <v>10</v>
      </c>
    </row>
    <row r="31" spans="1:13">
      <c r="A31" s="1" t="s">
        <v>42</v>
      </c>
      <c r="B31" s="2" t="s">
        <v>43</v>
      </c>
      <c r="C31" s="2" t="s">
        <v>44</v>
      </c>
      <c r="D31" s="2" t="s">
        <v>45</v>
      </c>
      <c r="F31" s="11">
        <f>ABS('I rok - obstawienia'!F32)+'I rok - obstawienia'!F32*'Ceny otwarcia i zamknięcia'!$D$13</f>
        <v>48.432614038716586</v>
      </c>
      <c r="G31" s="11">
        <f>ABS('I rok - obstawienia'!G32)+'I rok - obstawienia'!G32*'Ceny otwarcia i zamknięcia'!$D$14</f>
        <v>0</v>
      </c>
      <c r="H31" s="11">
        <f>ABS('I rok - obstawienia'!H32)+'I rok - obstawienia'!H32*'Ceny otwarcia i zamknięcia'!$D$15</f>
        <v>0</v>
      </c>
      <c r="I31" s="11">
        <f>ABS('I rok - obstawienia'!I32)+'I rok - obstawienia'!I32*'Ceny otwarcia i zamknięcia'!$D$16</f>
        <v>0</v>
      </c>
      <c r="J31" s="11" cm="1">
        <f t="array" ref="J31">L12-SUM(ABS('I rok - obstawienia'!F32:I32))</f>
        <v>50.572501173158145</v>
      </c>
      <c r="L31" s="11">
        <f t="shared" si="2"/>
        <v>99.005115211874738</v>
      </c>
      <c r="M31">
        <f t="shared" si="3"/>
        <v>11</v>
      </c>
    </row>
    <row r="32" spans="1:13">
      <c r="A32" s="1" t="s">
        <v>46</v>
      </c>
      <c r="B32" s="2" t="s">
        <v>47</v>
      </c>
      <c r="C32" s="2" t="s">
        <v>48</v>
      </c>
      <c r="D32" s="2" t="s">
        <v>49</v>
      </c>
      <c r="F32" s="11">
        <f>ABS('I rok - obstawienia'!F33)+'I rok - obstawienia'!F33*'Ceny otwarcia i zamknięcia'!$D$13</f>
        <v>34.838925955443074</v>
      </c>
      <c r="G32" s="11">
        <f>ABS('I rok - obstawienia'!G33)+'I rok - obstawienia'!G33*'Ceny otwarcia i zamknięcia'!$D$14</f>
        <v>7.8076119890717433</v>
      </c>
      <c r="H32" s="11">
        <f>ABS('I rok - obstawienia'!H33)+'I rok - obstawienia'!H33*'Ceny otwarcia i zamknięcia'!$D$15</f>
        <v>31.463970856102005</v>
      </c>
      <c r="I32" s="11">
        <f>ABS('I rok - obstawienia'!I33)+'I rok - obstawienia'!I33*'Ceny otwarcia i zamknięcia'!$D$16</f>
        <v>31.310025695820315</v>
      </c>
      <c r="J32" s="11" cm="1">
        <f t="array" ref="J32">L13-SUM(ABS('I rok - obstawienia'!F33:I33))</f>
        <v>2.8901220989041576E-3</v>
      </c>
      <c r="L32" s="11">
        <f t="shared" si="2"/>
        <v>105.42342461853605</v>
      </c>
      <c r="M32">
        <f t="shared" si="3"/>
        <v>1</v>
      </c>
    </row>
    <row r="33" spans="1:13">
      <c r="A33" s="1" t="s">
        <v>50</v>
      </c>
      <c r="B33" s="2" t="s">
        <v>51</v>
      </c>
      <c r="C33" s="2" t="s">
        <v>52</v>
      </c>
      <c r="D33" s="2" t="s">
        <v>53</v>
      </c>
      <c r="F33" s="11">
        <f>ABS('I rok - obstawienia'!F34)+'I rok - obstawienia'!F34*'Ceny otwarcia i zamknięcia'!$D$13</f>
        <v>51.567385961283414</v>
      </c>
      <c r="G33" s="11">
        <f>ABS('I rok - obstawienia'!G34)+'I rok - obstawienia'!G34*'Ceny otwarcia i zamknięcia'!$D$14</f>
        <v>52.471156470146262</v>
      </c>
      <c r="H33" s="11">
        <f>ABS('I rok - obstawienia'!H34)+'I rok - obstawienia'!H34*'Ceny otwarcia i zamknięcia'!$D$15</f>
        <v>0</v>
      </c>
      <c r="I33" s="11">
        <f>ABS('I rok - obstawienia'!I34)+'I rok - obstawienia'!I34*'Ceny otwarcia i zamknięcia'!$D$16</f>
        <v>0</v>
      </c>
      <c r="J33" s="11" cm="1">
        <f t="array" ref="J33">L14-SUM(ABS('I rok - obstawienia'!F34:I34))</f>
        <v>-1.6612383531509067E-3</v>
      </c>
      <c r="L33" s="11">
        <f t="shared" si="2"/>
        <v>104.03688119307652</v>
      </c>
      <c r="M33">
        <f t="shared" si="3"/>
        <v>2</v>
      </c>
    </row>
    <row r="34" spans="1:13">
      <c r="A34" s="1" t="s">
        <v>54</v>
      </c>
      <c r="B34" s="2" t="s">
        <v>55</v>
      </c>
      <c r="C34" s="3" t="s">
        <v>56</v>
      </c>
      <c r="D34" s="2"/>
      <c r="F34" s="11">
        <f>ABS('I rok - obstawienia'!F35)+'I rok - obstawienia'!F35*'Ceny otwarcia i zamknięcia'!$D$13</f>
        <v>0</v>
      </c>
      <c r="G34" s="11">
        <f>ABS('I rok - obstawienia'!G35)+'I rok - obstawienia'!G35*'Ceny otwarcia i zamknięcia'!$D$14</f>
        <v>57.593739593591536</v>
      </c>
      <c r="H34" s="11">
        <f>ABS('I rok - obstawienia'!H35)+'I rok - obstawienia'!H35*'Ceny otwarcia i zamknięcia'!$D$15</f>
        <v>0</v>
      </c>
      <c r="I34" s="11">
        <f>ABS('I rok - obstawienia'!I35)+'I rok - obstawienia'!I35*'Ceny otwarcia i zamknięcia'!$D$16</f>
        <v>45.187657354455233</v>
      </c>
      <c r="J34" s="11" cm="1">
        <f t="array" ref="J34">L15-SUM(ABS('I rok - obstawienia'!F35:I35))</f>
        <v>4.2683894035064895E-3</v>
      </c>
      <c r="L34" s="11">
        <f t="shared" si="2"/>
        <v>102.78566533745027</v>
      </c>
      <c r="M34">
        <f t="shared" si="3"/>
        <v>6</v>
      </c>
    </row>
    <row r="35" spans="1:13">
      <c r="A35" s="1" t="s">
        <v>57</v>
      </c>
      <c r="B35" s="2" t="s">
        <v>58</v>
      </c>
      <c r="C35" s="2" t="s">
        <v>59</v>
      </c>
      <c r="D35" s="2" t="s">
        <v>60</v>
      </c>
      <c r="F35" s="11">
        <f>ABS('I rok - obstawienia'!F36)+'I rok - obstawienia'!F36*'Ceny otwarcia i zamknięcia'!$D$13</f>
        <v>103.36488488142894</v>
      </c>
      <c r="G35" s="11">
        <f>ABS('I rok - obstawienia'!G36)+'I rok - obstawienia'!G36*'Ceny otwarcia i zamknięcia'!$D$14</f>
        <v>0</v>
      </c>
      <c r="H35" s="11">
        <f>ABS('I rok - obstawienia'!H36)+'I rok - obstawienia'!H36*'Ceny otwarcia i zamknięcia'!$D$15</f>
        <v>0</v>
      </c>
      <c r="I35" s="11">
        <f>ABS('I rok - obstawienia'!I36)+'I rok - obstawienia'!I36*'Ceny otwarcia i zamknięcia'!$D$16</f>
        <v>0</v>
      </c>
      <c r="J35" s="11" cm="1">
        <f t="array" ref="J35">L16-SUM(ABS('I rok - obstawienia'!F36:I36))</f>
        <v>4.2646665089165481E-3</v>
      </c>
      <c r="L35" s="11">
        <f t="shared" si="2"/>
        <v>103.36914954793785</v>
      </c>
      <c r="M35">
        <f t="shared" si="3"/>
        <v>5</v>
      </c>
    </row>
    <row r="36" spans="1:13">
      <c r="A36" s="1" t="s">
        <v>61</v>
      </c>
      <c r="B36" s="2" t="s">
        <v>62</v>
      </c>
      <c r="C36" s="2" t="s">
        <v>63</v>
      </c>
      <c r="D36" s="2"/>
      <c r="F36" s="11">
        <f>ABS('I rok - obstawienia'!F37)+'I rok - obstawienia'!F37*'Ceny otwarcia i zamknięcia'!$D$13</f>
        <v>87.178705269689857</v>
      </c>
      <c r="G36" s="11">
        <f>ABS('I rok - obstawienia'!G37)+'I rok - obstawienia'!G37*'Ceny otwarcia i zamknięcia'!$D$14</f>
        <v>0</v>
      </c>
      <c r="H36" s="11">
        <f>ABS('I rok - obstawienia'!H37)+'I rok - obstawienia'!H37*'Ceny otwarcia i zamknięcia'!$D$15</f>
        <v>0</v>
      </c>
      <c r="I36" s="11">
        <f>ABS('I rok - obstawienia'!I37)+'I rok - obstawienia'!I37*'Ceny otwarcia i zamknięcia'!$D$16</f>
        <v>0</v>
      </c>
      <c r="J36" s="11" cm="1">
        <f t="array" ref="J36">L17-SUM(ABS('I rok - obstawienia'!F37:I37))</f>
        <v>8.742278297427319</v>
      </c>
      <c r="L36" s="11">
        <f t="shared" si="2"/>
        <v>95.920983567117176</v>
      </c>
      <c r="M36">
        <f t="shared" si="3"/>
        <v>15</v>
      </c>
    </row>
    <row r="37" spans="1:13">
      <c r="A37" s="1" t="s">
        <v>64</v>
      </c>
      <c r="B37" s="2" t="s">
        <v>65</v>
      </c>
      <c r="C37" s="2" t="s">
        <v>66</v>
      </c>
      <c r="D37" s="2"/>
      <c r="F37" s="11">
        <f>ABS('I rok - obstawienia'!F38)+'I rok - obstawienia'!F38*'Ceny otwarcia i zamknięcia'!$D$13</f>
        <v>0</v>
      </c>
      <c r="G37" s="11">
        <f>ABS('I rok - obstawienia'!G38)+'I rok - obstawienia'!G38*'Ceny otwarcia i zamknięcia'!$D$14</f>
        <v>0</v>
      </c>
      <c r="H37" s="11">
        <f>ABS('I rok - obstawienia'!H38)+'I rok - obstawienia'!H38*'Ceny otwarcia i zamknięcia'!$D$15</f>
        <v>0</v>
      </c>
      <c r="I37" s="11">
        <f>ABS('I rok - obstawienia'!I38)+'I rok - obstawienia'!I38*'Ceny otwarcia i zamknięcia'!$D$16</f>
        <v>0</v>
      </c>
      <c r="J37" s="11" cm="1">
        <f t="array" ref="J37">L18-SUM(ABS('I rok - obstawienia'!F38:I38))</f>
        <v>96.953299205489998</v>
      </c>
      <c r="L37" s="11">
        <f t="shared" si="2"/>
        <v>96.953299205489998</v>
      </c>
      <c r="M37">
        <f t="shared" si="3"/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81C0A9-39E3-4986-8FDD-AC8EB4D3D890}">
  <dimension ref="A1:M35"/>
  <sheetViews>
    <sheetView topLeftCell="A8" workbookViewId="0">
      <selection activeCell="L22" sqref="L22:L35"/>
    </sheetView>
  </sheetViews>
  <sheetFormatPr defaultRowHeight="15"/>
  <cols>
    <col min="2" max="2" width="20.28515625" customWidth="1"/>
    <col min="3" max="3" width="18.85546875" customWidth="1"/>
    <col min="4" max="4" width="25.140625" customWidth="1"/>
    <col min="8" max="9" width="10.5703125" bestFit="1" customWidth="1"/>
    <col min="10" max="10" width="13.140625" customWidth="1"/>
    <col min="12" max="12" width="12.7109375" customWidth="1"/>
  </cols>
  <sheetData>
    <row r="1" spans="1:13">
      <c r="A1" s="4" t="s">
        <v>0</v>
      </c>
      <c r="B1" s="4" t="s">
        <v>1</v>
      </c>
    </row>
    <row r="3" spans="1:13">
      <c r="A3" s="1" t="s">
        <v>2</v>
      </c>
      <c r="B3" s="1" t="s">
        <v>3</v>
      </c>
      <c r="C3" s="1" t="s">
        <v>4</v>
      </c>
      <c r="D3" s="1" t="s">
        <v>5</v>
      </c>
      <c r="F3" s="4" t="s">
        <v>6</v>
      </c>
      <c r="G3" s="4" t="s">
        <v>7</v>
      </c>
      <c r="H3" s="4" t="s">
        <v>8</v>
      </c>
      <c r="I3" s="4" t="s">
        <v>9</v>
      </c>
      <c r="J3" s="4" t="s">
        <v>128</v>
      </c>
      <c r="L3" s="1" t="s">
        <v>10</v>
      </c>
      <c r="M3" s="6" t="s">
        <v>127</v>
      </c>
    </row>
    <row r="4" spans="1:13">
      <c r="A4" s="3" t="s">
        <v>68</v>
      </c>
      <c r="B4" s="2" t="s">
        <v>69</v>
      </c>
      <c r="C4" s="2" t="s">
        <v>70</v>
      </c>
      <c r="D4" s="2" t="s">
        <v>71</v>
      </c>
      <c r="F4" s="11">
        <f>ABS('II rok - obstawienia'!F4)+'II rok - obstawienia'!F4*'Ceny otwarcia i zamknięcia'!$D$5</f>
        <v>30.754633021543608</v>
      </c>
      <c r="G4" s="11">
        <f>ABS('II rok - obstawienia'!G4)+'II rok - obstawienia'!G4*'Ceny otwarcia i zamknięcia'!$D$6</f>
        <v>62.60378357294104</v>
      </c>
      <c r="H4" s="11">
        <f>ABS('II rok - obstawienia'!H4)+'II rok - obstawienia'!H4*'Ceny otwarcia i zamknięcia'!$D$7</f>
        <v>0</v>
      </c>
      <c r="I4" s="11">
        <f>ABS('II rok - obstawienia'!I4)+'II rok - obstawienia'!I4*'Ceny otwarcia i zamknięcia'!$D$8</f>
        <v>0</v>
      </c>
      <c r="J4" s="11" cm="1">
        <f t="array" ref="J4">100-SUM(ABS('II rok - obstawienia'!F4:I4))</f>
        <v>0</v>
      </c>
      <c r="L4" s="11">
        <f>SUM(F4:J4)</f>
        <v>93.358416594484652</v>
      </c>
      <c r="M4">
        <f>RANK(L4,$L$4:$L$17,0)</f>
        <v>13</v>
      </c>
    </row>
    <row r="5" spans="1:13">
      <c r="A5" s="3" t="s">
        <v>72</v>
      </c>
      <c r="B5" s="2" t="s">
        <v>73</v>
      </c>
      <c r="C5" s="2" t="s">
        <v>74</v>
      </c>
      <c r="D5" s="2" t="s">
        <v>75</v>
      </c>
      <c r="F5" s="11">
        <f>ABS('II rok - obstawienia'!F5)+'II rok - obstawienia'!F5*'Ceny otwarcia i zamknięcia'!$D$5</f>
        <v>48.742278297427319</v>
      </c>
      <c r="G5" s="11">
        <f>ABS('II rok - obstawienia'!G5)+'II rok - obstawienia'!G5*'Ceny otwarcia i zamknięcia'!$D$6</f>
        <v>0</v>
      </c>
      <c r="H5" s="11">
        <f>ABS('II rok - obstawienia'!H5)+'II rok - obstawienia'!H5*'Ceny otwarcia i zamknięcia'!$D$7</f>
        <v>0</v>
      </c>
      <c r="I5" s="11">
        <f>ABS('II rok - obstawienia'!I5)+'II rok - obstawienia'!I5*'Ceny otwarcia i zamknięcia'!$D$8</f>
        <v>49.380134559357472</v>
      </c>
      <c r="J5" s="11" cm="1">
        <f t="array" ref="J5">100-SUM(ABS('II rok - obstawienia'!F5:I5))</f>
        <v>0</v>
      </c>
      <c r="L5" s="11">
        <f t="shared" ref="L5:L17" si="0">SUM(F5:J5)</f>
        <v>98.122412856784791</v>
      </c>
      <c r="M5">
        <f t="shared" ref="M5:M17" si="1">RANK(L5,$L$4:$L$17,0)</f>
        <v>9</v>
      </c>
    </row>
    <row r="6" spans="1:13">
      <c r="A6" s="3" t="s">
        <v>76</v>
      </c>
      <c r="B6" s="2" t="s">
        <v>77</v>
      </c>
      <c r="C6" s="2" t="s">
        <v>78</v>
      </c>
      <c r="D6" s="2" t="s">
        <v>79</v>
      </c>
      <c r="F6" s="11">
        <f>ABS('II rok - obstawienia'!F6)+'II rok - obstawienia'!F6*'Ceny otwarcia i zamknięcia'!$D$5</f>
        <v>30.754633021543608</v>
      </c>
      <c r="G6" s="11">
        <f>ABS('II rok - obstawienia'!G6)+'II rok - obstawienia'!G6*'Ceny otwarcia i zamknięcia'!$D$6</f>
        <v>44.226409386890836</v>
      </c>
      <c r="H6" s="11">
        <f>ABS('II rok - obstawienia'!H6)+'II rok - obstawienia'!H6*'Ceny otwarcia i zamknięcia'!$D$7</f>
        <v>0</v>
      </c>
      <c r="I6" s="11">
        <f>ABS('II rok - obstawienia'!I6)+'II rok - obstawienia'!I6*'Ceny otwarcia i zamknięcia'!$D$8</f>
        <v>29.628080735614482</v>
      </c>
      <c r="J6" s="11" cm="1">
        <f t="array" ref="J6">100-SUM(ABS('II rok - obstawienia'!F6:I6))</f>
        <v>0</v>
      </c>
      <c r="L6" s="11">
        <f t="shared" si="0"/>
        <v>104.60912314404894</v>
      </c>
      <c r="M6">
        <f t="shared" si="1"/>
        <v>5</v>
      </c>
    </row>
    <row r="7" spans="1:13">
      <c r="A7" s="3" t="s">
        <v>80</v>
      </c>
      <c r="B7" s="2" t="s">
        <v>81</v>
      </c>
      <c r="C7" s="2" t="s">
        <v>82</v>
      </c>
      <c r="D7" s="2" t="s">
        <v>83</v>
      </c>
      <c r="F7" s="11">
        <f>ABS('II rok - obstawienia'!F7)+'II rok - obstawienia'!F7*'Ceny otwarcia i zamknięcia'!$D$5</f>
        <v>38.993822637941861</v>
      </c>
      <c r="G7" s="11">
        <f>ABS('II rok - obstawienia'!G7)+'II rok - obstawienia'!G7*'Ceny otwarcia i zamknięcia'!$D$6</f>
        <v>53.660385919663753</v>
      </c>
      <c r="H7" s="11">
        <f>ABS('II rok - obstawienia'!H7)+'II rok - obstawienia'!H7*'Ceny otwarcia i zamknięcia'!$D$7</f>
        <v>0</v>
      </c>
      <c r="I7" s="11">
        <f>ABS('II rok - obstawienia'!I7)+'II rok - obstawienia'!I7*'Ceny otwarcia i zamknięcia'!$D$8</f>
        <v>0</v>
      </c>
      <c r="J7" s="11" cm="1">
        <f t="array" ref="J7">100-SUM(ABS('II rok - obstawienia'!F7:I7))</f>
        <v>0</v>
      </c>
      <c r="L7" s="11">
        <f t="shared" si="0"/>
        <v>92.654208557605614</v>
      </c>
      <c r="M7">
        <f t="shared" si="1"/>
        <v>14</v>
      </c>
    </row>
    <row r="8" spans="1:13">
      <c r="A8" s="3" t="s">
        <v>84</v>
      </c>
      <c r="B8" s="2" t="s">
        <v>85</v>
      </c>
      <c r="C8" s="2" t="s">
        <v>86</v>
      </c>
      <c r="D8" s="2" t="s">
        <v>87</v>
      </c>
      <c r="F8" s="11">
        <f>ABS('II rok - obstawienia'!F8)+'II rok - obstawienia'!F8*'Ceny otwarcia i zamknięcia'!$D$5</f>
        <v>71.760810383601751</v>
      </c>
      <c r="G8" s="11">
        <f>ABS('II rok - obstawienia'!G8)+'II rok - obstawienia'!G8*'Ceny otwarcia i zamknięcia'!$D$6</f>
        <v>26.830192959831876</v>
      </c>
      <c r="H8" s="11">
        <f>ABS('II rok - obstawienia'!H8)+'II rok - obstawienia'!H8*'Ceny otwarcia i zamknięcia'!$D$7</f>
        <v>0</v>
      </c>
      <c r="I8" s="11">
        <f>ABS('II rok - obstawienia'!I8)+'II rok - obstawienia'!I8*'Ceny otwarcia i zamknięcia'!$D$8</f>
        <v>0</v>
      </c>
      <c r="J8" s="11" cm="1">
        <f t="array" ref="J8">100-SUM(ABS('II rok - obstawienia'!F8:I8))</f>
        <v>0</v>
      </c>
      <c r="L8" s="11">
        <f t="shared" si="0"/>
        <v>98.591003343433627</v>
      </c>
      <c r="M8">
        <f t="shared" si="1"/>
        <v>7</v>
      </c>
    </row>
    <row r="9" spans="1:13">
      <c r="A9" s="3" t="s">
        <v>88</v>
      </c>
      <c r="B9" s="2" t="s">
        <v>89</v>
      </c>
      <c r="C9" s="2" t="s">
        <v>90</v>
      </c>
      <c r="D9" s="2" t="s">
        <v>91</v>
      </c>
      <c r="F9" s="11">
        <f>ABS('II rok - obstawienia'!F9)+'II rok - obstawienia'!F9*'Ceny otwarcia i zamknięcia'!$D$5</f>
        <v>41.006177362058139</v>
      </c>
      <c r="G9" s="11">
        <f>ABS('II rok - obstawienia'!G9)+'II rok - obstawienia'!G9*'Ceny otwarcia i zamknięcia'!$D$6</f>
        <v>27.641505866806771</v>
      </c>
      <c r="H9" s="11">
        <f>ABS('II rok - obstawienia'!H9)+'II rok - obstawienia'!H9*'Ceny otwarcia i zamknięcia'!$D$7</f>
        <v>25.715626466447684</v>
      </c>
      <c r="I9" s="11">
        <f>ABS('II rok - obstawienia'!I9)+'II rok - obstawienia'!I9*'Ceny otwarcia i zamknięcia'!$D$8</f>
        <v>9.8760269118714934</v>
      </c>
      <c r="J9" s="11" cm="1">
        <f t="array" ref="J9">100-SUM(ABS('II rok - obstawienia'!F9:I9))</f>
        <v>0</v>
      </c>
      <c r="L9" s="11">
        <f t="shared" si="0"/>
        <v>104.23933660718409</v>
      </c>
      <c r="M9">
        <f t="shared" si="1"/>
        <v>6</v>
      </c>
    </row>
    <row r="10" spans="1:13">
      <c r="A10" s="3" t="s">
        <v>92</v>
      </c>
      <c r="B10" s="2" t="s">
        <v>93</v>
      </c>
      <c r="C10" s="2" t="s">
        <v>94</v>
      </c>
      <c r="D10" s="2" t="s">
        <v>95</v>
      </c>
      <c r="F10" s="11">
        <f>ABS('II rok - obstawienia'!F10)+'II rok - obstawienia'!F10*'Ceny otwarcia i zamknięcia'!$D$5</f>
        <v>51.257721702572681</v>
      </c>
      <c r="G10" s="11">
        <f>ABS('II rok - obstawienia'!G10)+'II rok - obstawienia'!G10*'Ceny otwarcia i zamknięcia'!$D$6</f>
        <v>55.283011733613542</v>
      </c>
      <c r="H10" s="11">
        <f>ABS('II rok - obstawienia'!H10)+'II rok - obstawienia'!H10*'Ceny otwarcia i zamknięcia'!$D$7</f>
        <v>0</v>
      </c>
      <c r="I10" s="11">
        <f>ABS('II rok - obstawienia'!I10)+'II rok - obstawienia'!I10*'Ceny otwarcia i zamknięcia'!$D$8</f>
        <v>0</v>
      </c>
      <c r="J10" s="11" cm="1">
        <f t="array" ref="J10">100-SUM(ABS('II rok - obstawienia'!F10:I10))</f>
        <v>0</v>
      </c>
      <c r="L10" s="11">
        <f t="shared" si="0"/>
        <v>106.54073343618623</v>
      </c>
      <c r="M10">
        <f t="shared" si="1"/>
        <v>1</v>
      </c>
    </row>
    <row r="11" spans="1:13">
      <c r="A11" s="3" t="s">
        <v>96</v>
      </c>
      <c r="B11" s="2" t="s">
        <v>97</v>
      </c>
      <c r="C11" s="2" t="s">
        <v>98</v>
      </c>
      <c r="D11" s="2"/>
      <c r="F11" s="11">
        <f>ABS('II rok - obstawienia'!F11)+'II rok - obstawienia'!F11*'Ceny otwarcia i zamknięcia'!$D$5</f>
        <v>68.239189616398249</v>
      </c>
      <c r="G11" s="11">
        <f>ABS('II rok - obstawienia'!G11)+'II rok - obstawienia'!G11*'Ceny otwarcia i zamknięcia'!$D$6</f>
        <v>13.415096479915938</v>
      </c>
      <c r="H11" s="11">
        <f>ABS('II rok - obstawienia'!H11)+'II rok - obstawienia'!H11*'Ceny otwarcia i zamknięcia'!$D$7</f>
        <v>0</v>
      </c>
      <c r="I11" s="11">
        <f>ABS('II rok - obstawienia'!I11)+'II rok - obstawienia'!I11*'Ceny otwarcia i zamknięcia'!$D$8</f>
        <v>0</v>
      </c>
      <c r="J11" s="11" cm="1">
        <f t="array" ref="J11">100-SUM(ABS('II rok - obstawienia'!F11:I11))</f>
        <v>15</v>
      </c>
      <c r="L11" s="11">
        <f t="shared" si="0"/>
        <v>96.654286096314195</v>
      </c>
      <c r="M11">
        <f t="shared" si="1"/>
        <v>11</v>
      </c>
    </row>
    <row r="12" spans="1:13">
      <c r="A12" s="3" t="s">
        <v>99</v>
      </c>
      <c r="B12" s="2" t="s">
        <v>100</v>
      </c>
      <c r="C12" s="2" t="s">
        <v>101</v>
      </c>
      <c r="D12" s="2" t="s">
        <v>102</v>
      </c>
      <c r="F12" s="11">
        <f>ABS('II rok - obstawienia'!F12)+'II rok - obstawienia'!F12*'Ceny otwarcia i zamknięcia'!$D$5</f>
        <v>51.257721702572681</v>
      </c>
      <c r="G12" s="11">
        <f>ABS('II rok - obstawienia'!G12)+'II rok - obstawienia'!G12*'Ceny otwarcia i zamknięcia'!$D$6</f>
        <v>44.716988266386458</v>
      </c>
      <c r="H12" s="11">
        <f>ABS('II rok - obstawienia'!H12)+'II rok - obstawienia'!H12*'Ceny otwarcia i zamknięcia'!$D$7</f>
        <v>0</v>
      </c>
      <c r="I12" s="11">
        <f>ABS('II rok - obstawienia'!I12)+'II rok - obstawienia'!I12*'Ceny otwarcia i zamknięcia'!$D$8</f>
        <v>0</v>
      </c>
      <c r="J12" s="11" cm="1">
        <f t="array" ref="J12">100-SUM(ABS('II rok - obstawienia'!F12:I12))</f>
        <v>0</v>
      </c>
      <c r="L12" s="11">
        <f t="shared" si="0"/>
        <v>95.974709968959132</v>
      </c>
      <c r="M12">
        <f t="shared" si="1"/>
        <v>12</v>
      </c>
    </row>
    <row r="13" spans="1:13">
      <c r="A13" s="3" t="s">
        <v>103</v>
      </c>
      <c r="B13" s="2" t="s">
        <v>104</v>
      </c>
      <c r="C13" s="2" t="s">
        <v>105</v>
      </c>
      <c r="D13" s="2" t="s">
        <v>106</v>
      </c>
      <c r="F13" s="11">
        <f>ABS('II rok - obstawienia'!F13)+'II rok - obstawienia'!F13*'Ceny otwarcia i zamknięcia'!$D$5</f>
        <v>71.760810383601751</v>
      </c>
      <c r="G13" s="11">
        <f>ABS('II rok - obstawienia'!G13)+'II rok - obstawienia'!G13*'Ceny otwarcia i zamknięcia'!$D$6</f>
        <v>26.830192959831876</v>
      </c>
      <c r="H13" s="11">
        <f>ABS('II rok - obstawienia'!H13)+'II rok - obstawienia'!H13*'Ceny otwarcia i zamknięcia'!$D$7</f>
        <v>0</v>
      </c>
      <c r="I13" s="11">
        <f>ABS('II rok - obstawienia'!I13)+'II rok - obstawienia'!I13*'Ceny otwarcia i zamknięcia'!$D$8</f>
        <v>0</v>
      </c>
      <c r="J13" s="11" cm="1">
        <f t="array" ref="J13">100-SUM(ABS('II rok - obstawienia'!F13:I13))</f>
        <v>0</v>
      </c>
      <c r="L13" s="11">
        <f t="shared" si="0"/>
        <v>98.591003343433627</v>
      </c>
      <c r="M13">
        <f t="shared" si="1"/>
        <v>7</v>
      </c>
    </row>
    <row r="14" spans="1:13">
      <c r="A14" s="3" t="s">
        <v>107</v>
      </c>
      <c r="B14" s="2" t="s">
        <v>108</v>
      </c>
      <c r="C14" s="2" t="s">
        <v>109</v>
      </c>
      <c r="D14" s="2" t="s">
        <v>110</v>
      </c>
      <c r="F14" s="11">
        <f>ABS('II rok - obstawienia'!F14)+'II rok - obstawienia'!F14*'Ceny otwarcia i zamknięcia'!$D$5</f>
        <v>51.257721702572681</v>
      </c>
      <c r="G14" s="11">
        <f>ABS('II rok - obstawienia'!G14)+'II rok - obstawienia'!G14*'Ceny otwarcia i zamknięcia'!$D$6</f>
        <v>55.283011733613542</v>
      </c>
      <c r="H14" s="11">
        <f>ABS('II rok - obstawienia'!H14)+'II rok - obstawienia'!H14*'Ceny otwarcia i zamknięcia'!$D$7</f>
        <v>0</v>
      </c>
      <c r="I14" s="11">
        <f>ABS('II rok - obstawienia'!I14)+'II rok - obstawienia'!I14*'Ceny otwarcia i zamknięcia'!$D$8</f>
        <v>0</v>
      </c>
      <c r="J14" s="11" cm="1">
        <f t="array" ref="J14">100-SUM(ABS('II rok - obstawienia'!F14:I14))</f>
        <v>0</v>
      </c>
      <c r="L14" s="11">
        <f t="shared" si="0"/>
        <v>106.54073343618623</v>
      </c>
      <c r="M14">
        <f t="shared" si="1"/>
        <v>1</v>
      </c>
    </row>
    <row r="15" spans="1:13">
      <c r="A15" s="3" t="s">
        <v>111</v>
      </c>
      <c r="B15" s="2" t="s">
        <v>112</v>
      </c>
      <c r="C15" s="2" t="s">
        <v>113</v>
      </c>
      <c r="D15" s="2" t="s">
        <v>114</v>
      </c>
      <c r="F15" s="11">
        <f>ABS('II rok - obstawienia'!F15)+'II rok - obstawienia'!F15*'Ceny otwarcia i zamknięcia'!$D$5</f>
        <v>51.257721702572681</v>
      </c>
      <c r="G15" s="11">
        <f>ABS('II rok - obstawienia'!G15)+'II rok - obstawienia'!G15*'Ceny otwarcia i zamknięcia'!$D$6</f>
        <v>55.283011733613542</v>
      </c>
      <c r="H15" s="11">
        <f>ABS('II rok - obstawienia'!H15)+'II rok - obstawienia'!H15*'Ceny otwarcia i zamknięcia'!$D$7</f>
        <v>0</v>
      </c>
      <c r="I15" s="11">
        <f>ABS('II rok - obstawienia'!I15)+'II rok - obstawienia'!I15*'Ceny otwarcia i zamknięcia'!$D$8</f>
        <v>0</v>
      </c>
      <c r="J15" s="11" cm="1">
        <f t="array" ref="J15">100-SUM(ABS('II rok - obstawienia'!F15:I15))</f>
        <v>0</v>
      </c>
      <c r="L15" s="11">
        <f t="shared" si="0"/>
        <v>106.54073343618623</v>
      </c>
      <c r="M15">
        <f t="shared" si="1"/>
        <v>1</v>
      </c>
    </row>
    <row r="16" spans="1:13">
      <c r="A16" s="3" t="s">
        <v>115</v>
      </c>
      <c r="B16" s="2" t="s">
        <v>116</v>
      </c>
      <c r="C16" s="2" t="s">
        <v>117</v>
      </c>
      <c r="D16" s="2" t="s">
        <v>118</v>
      </c>
      <c r="F16" s="11">
        <f>ABS('II rok - obstawienia'!F16)+'II rok - obstawienia'!F16*'Ceny otwarcia i zamknięcia'!$D$5</f>
        <v>41.006177362058139</v>
      </c>
      <c r="G16" s="11">
        <f>ABS('II rok - obstawienia'!G16)+'II rok - obstawienia'!G16*'Ceny otwarcia i zamknięcia'!$D$6</f>
        <v>44.226409386890836</v>
      </c>
      <c r="H16" s="11">
        <f>ABS('II rok - obstawienia'!H16)+'II rok - obstawienia'!H16*'Ceny otwarcia i zamknięcia'!$D$7</f>
        <v>0</v>
      </c>
      <c r="I16" s="11">
        <f>ABS('II rok - obstawienia'!I16)+'II rok - obstawienia'!I16*'Ceny otwarcia i zamknięcia'!$D$8</f>
        <v>0</v>
      </c>
      <c r="J16" s="11" cm="1">
        <f t="array" ref="J16">100-SUM(ABS('II rok - obstawienia'!F16:I16))</f>
        <v>20</v>
      </c>
      <c r="L16" s="11">
        <f t="shared" si="0"/>
        <v>105.23258674894898</v>
      </c>
      <c r="M16">
        <f t="shared" si="1"/>
        <v>4</v>
      </c>
    </row>
    <row r="17" spans="1:13">
      <c r="A17" s="3" t="s">
        <v>119</v>
      </c>
      <c r="B17" s="2" t="s">
        <v>120</v>
      </c>
      <c r="C17" s="2" t="s">
        <v>121</v>
      </c>
      <c r="D17" s="2"/>
      <c r="F17" s="11">
        <f>ABS('II rok - obstawienia'!F17)+'II rok - obstawienia'!F17*'Ceny otwarcia i zamknięcia'!$D$5</f>
        <v>97.484556594854638</v>
      </c>
      <c r="G17" s="11">
        <f>ABS('II rok - obstawienia'!G17)+'II rok - obstawienia'!G17*'Ceny otwarcia i zamknięcia'!$D$6</f>
        <v>0</v>
      </c>
      <c r="H17" s="11">
        <f>ABS('II rok - obstawienia'!H17)+'II rok - obstawienia'!H17*'Ceny otwarcia i zamknięcia'!$D$7</f>
        <v>0</v>
      </c>
      <c r="I17" s="11">
        <f>ABS('II rok - obstawienia'!I17)+'II rok - obstawienia'!I17*'Ceny otwarcia i zamknięcia'!$D$8</f>
        <v>0</v>
      </c>
      <c r="J17" s="11" cm="1">
        <f t="array" ref="J17">100-SUM(ABS('II rok - obstawienia'!F17:I17))</f>
        <v>0</v>
      </c>
      <c r="L17" s="11">
        <f t="shared" si="0"/>
        <v>97.484556594854638</v>
      </c>
      <c r="M17">
        <f t="shared" si="1"/>
        <v>10</v>
      </c>
    </row>
    <row r="20" spans="1:13">
      <c r="A20" s="4" t="s">
        <v>0</v>
      </c>
      <c r="B20" s="4" t="s">
        <v>67</v>
      </c>
    </row>
    <row r="21" spans="1:13">
      <c r="A21" s="1" t="s">
        <v>2</v>
      </c>
      <c r="B21" s="1" t="s">
        <v>3</v>
      </c>
      <c r="C21" s="1" t="s">
        <v>4</v>
      </c>
      <c r="D21" s="1" t="s">
        <v>5</v>
      </c>
      <c r="F21" s="4" t="s">
        <v>6</v>
      </c>
      <c r="G21" s="4" t="s">
        <v>7</v>
      </c>
      <c r="H21" s="4" t="s">
        <v>8</v>
      </c>
      <c r="I21" s="4" t="s">
        <v>9</v>
      </c>
      <c r="J21" s="4" t="s">
        <v>128</v>
      </c>
      <c r="L21" s="1" t="s">
        <v>10</v>
      </c>
      <c r="M21" s="6" t="s">
        <v>127</v>
      </c>
    </row>
    <row r="22" spans="1:13">
      <c r="A22" s="3" t="s">
        <v>68</v>
      </c>
      <c r="B22" s="2" t="s">
        <v>69</v>
      </c>
      <c r="C22" s="2" t="s">
        <v>70</v>
      </c>
      <c r="D22" s="2" t="s">
        <v>71</v>
      </c>
      <c r="F22" s="11">
        <f>ABS('II rok - obstawienia'!F22)+'II rok - obstawienia'!F22*'Ceny otwarcia i zamknięcia'!$D$13</f>
        <v>30.940431576770049</v>
      </c>
      <c r="G22" s="11">
        <f>ABS('II rok - obstawienia'!G22)+'II rok - obstawienia'!G22*'Ceny otwarcia i zamknięcia'!$D$14</f>
        <v>0</v>
      </c>
      <c r="H22" s="11">
        <f>ABS('II rok - obstawienia'!H22)+'II rok - obstawienia'!H22*'Ceny otwarcia i zamknięcia'!$D$15</f>
        <v>15.136612021857925</v>
      </c>
      <c r="I22" s="11">
        <f>ABS('II rok - obstawienia'!I22)+'II rok - obstawienia'!I22*'Ceny otwarcia i zamknięcia'!$D$16</f>
        <v>15.062552451485079</v>
      </c>
      <c r="J22" s="11" cm="1">
        <f t="array" ref="J22">L4-SUM(ABS('II rok - obstawienia'!F22:I22))</f>
        <v>33.358416594484652</v>
      </c>
      <c r="L22" s="11">
        <f>SUM(F22:J22)</f>
        <v>94.498012644597708</v>
      </c>
      <c r="M22">
        <f>RANK(L22,$L$22:$L$35,0)</f>
        <v>11</v>
      </c>
    </row>
    <row r="23" spans="1:13">
      <c r="A23" s="3" t="s">
        <v>72</v>
      </c>
      <c r="B23" s="2" t="s">
        <v>73</v>
      </c>
      <c r="C23" s="2" t="s">
        <v>74</v>
      </c>
      <c r="D23" s="2" t="s">
        <v>75</v>
      </c>
      <c r="F23" s="11">
        <f>ABS('II rok - obstawienia'!F23)+'II rok - obstawienia'!F23*'Ceny otwarcia i zamknięcia'!$D$13</f>
        <v>50.59791910521129</v>
      </c>
      <c r="G23" s="11">
        <f>ABS('II rok - obstawienia'!G23)+'II rok - obstawienia'!G23*'Ceny otwarcia i zamknięcia'!$D$14</f>
        <v>49.107877459469201</v>
      </c>
      <c r="H23" s="11">
        <f>ABS('II rok - obstawienia'!H23)+'II rok - obstawienia'!H23*'Ceny otwarcia i zamknięcia'!$D$15</f>
        <v>0</v>
      </c>
      <c r="I23" s="11">
        <f>ABS('II rok - obstawienia'!I23)+'II rok - obstawienia'!I23*'Ceny otwarcia i zamknięcia'!$D$16</f>
        <v>0</v>
      </c>
      <c r="J23" s="11" cm="1">
        <f t="array" ref="J23">L5-SUM(ABS('II rok - obstawienia'!F23:I23))</f>
        <v>2.4128567847867544E-3</v>
      </c>
      <c r="L23" s="11">
        <f t="shared" ref="L23:L35" si="2">SUM(F23:J23)</f>
        <v>99.708209421465284</v>
      </c>
      <c r="M23">
        <f t="shared" ref="M23:M35" si="3">RANK(L23,$L$22:$L$35,0)</f>
        <v>8</v>
      </c>
    </row>
    <row r="24" spans="1:13">
      <c r="A24" s="3" t="s">
        <v>76</v>
      </c>
      <c r="B24" s="2" t="s">
        <v>77</v>
      </c>
      <c r="C24" s="2" t="s">
        <v>78</v>
      </c>
      <c r="D24" s="2" t="s">
        <v>79</v>
      </c>
      <c r="F24" s="11">
        <f>ABS('II rok - obstawienia'!F24)+'II rok - obstawienia'!F24*'Ceny otwarcia i zamknięcia'!$D$13</f>
        <v>53.93948571550245</v>
      </c>
      <c r="G24" s="11">
        <f>ABS('II rok - obstawienia'!G24)+'II rok - obstawienia'!G24*'Ceny otwarcia i zamknięcia'!$D$14</f>
        <v>0</v>
      </c>
      <c r="H24" s="11">
        <f>ABS('II rok - obstawienia'!H24)+'II rok - obstawienia'!H24*'Ceny otwarcia i zamknięcia'!$D$15</f>
        <v>0</v>
      </c>
      <c r="I24" s="11">
        <f>ABS('II rok - obstawienia'!I24)+'II rok - obstawienia'!I24*'Ceny otwarcia i zamknięcia'!$D$16</f>
        <v>52.081900452488689</v>
      </c>
      <c r="J24" s="11" cm="1">
        <f t="array" ref="J24">L6-SUM(ABS('II rok - obstawienia'!F24:I24))</f>
        <v>9.1231440489423221E-3</v>
      </c>
      <c r="L24" s="11">
        <f t="shared" si="2"/>
        <v>106.03050931204008</v>
      </c>
      <c r="M24">
        <f t="shared" si="3"/>
        <v>5</v>
      </c>
    </row>
    <row r="25" spans="1:13">
      <c r="A25" s="3" t="s">
        <v>80</v>
      </c>
      <c r="B25" s="2" t="s">
        <v>81</v>
      </c>
      <c r="C25" s="2" t="s">
        <v>82</v>
      </c>
      <c r="D25" s="2" t="s">
        <v>83</v>
      </c>
      <c r="F25" s="11">
        <f>ABS('II rok - obstawienia'!F25)+'II rok - obstawienia'!F25*'Ceny otwarcia i zamknięcia'!$D$13</f>
        <v>48.112371101877422</v>
      </c>
      <c r="G25" s="11">
        <f>ABS('II rok - obstawienia'!G25)+'II rok - obstawienia'!G25*'Ceny otwarcia i zamknięcia'!$D$14</f>
        <v>45.95510878239741</v>
      </c>
      <c r="H25" s="11">
        <f>ABS('II rok - obstawienia'!H25)+'II rok - obstawienia'!H25*'Ceny otwarcia i zamknięcia'!$D$15</f>
        <v>0</v>
      </c>
      <c r="I25" s="11">
        <f>ABS('II rok - obstawienia'!I25)+'II rok - obstawienia'!I25*'Ceny otwarcia i zamknięcia'!$D$16</f>
        <v>0</v>
      </c>
      <c r="J25" s="11" cm="1">
        <f t="array" ref="J25">L7-SUM(ABS('II rok - obstawienia'!F25:I25))</f>
        <v>4.2085576056081209E-3</v>
      </c>
      <c r="L25" s="11">
        <f t="shared" si="2"/>
        <v>94.07168844188044</v>
      </c>
      <c r="M25">
        <f t="shared" si="3"/>
        <v>13</v>
      </c>
    </row>
    <row r="26" spans="1:13">
      <c r="A26" s="3" t="s">
        <v>84</v>
      </c>
      <c r="B26" s="2" t="s">
        <v>85</v>
      </c>
      <c r="C26" s="2" t="s">
        <v>86</v>
      </c>
      <c r="D26" s="2" t="s">
        <v>87</v>
      </c>
      <c r="F26" s="11">
        <f>ABS('II rok - obstawienia'!F26)+'II rok - obstawienia'!F26*'Ceny otwarcia i zamknięcia'!$D$13</f>
        <v>72.194340345796775</v>
      </c>
      <c r="G26" s="11">
        <f>ABS('II rok - obstawienia'!G26)+'II rok - obstawienia'!G26*'Ceny otwarcia i zamknięcia'!$D$14</f>
        <v>0</v>
      </c>
      <c r="H26" s="11">
        <f>ABS('II rok - obstawienia'!H26)+'II rok - obstawienia'!H26*'Ceny otwarcia i zamknięcia'!$D$15</f>
        <v>0</v>
      </c>
      <c r="I26" s="11">
        <f>ABS('II rok - obstawienia'!I26)+'II rok - obstawienia'!I26*'Ceny otwarcia i zamknięcia'!$D$16</f>
        <v>20.083403268646769</v>
      </c>
      <c r="J26" s="11" cm="1">
        <f t="array" ref="J26">L8-SUM(ABS('II rok - obstawienia'!F26:I26))</f>
        <v>8.591003343433627</v>
      </c>
      <c r="L26" s="11">
        <f t="shared" si="2"/>
        <v>100.86874695787718</v>
      </c>
      <c r="M26">
        <f t="shared" si="3"/>
        <v>7</v>
      </c>
    </row>
    <row r="27" spans="1:13">
      <c r="A27" s="3" t="s">
        <v>88</v>
      </c>
      <c r="B27" s="2" t="s">
        <v>89</v>
      </c>
      <c r="C27" s="2" t="s">
        <v>90</v>
      </c>
      <c r="D27" s="2" t="s">
        <v>91</v>
      </c>
      <c r="F27" s="11">
        <f>ABS('II rok - obstawienia'!F27)+'II rok - obstawienia'!F27*'Ceny otwarcia i zamknięcia'!$D$13</f>
        <v>20.626954384513365</v>
      </c>
      <c r="G27" s="11">
        <f>ABS('II rok - obstawienia'!G27)+'II rok - obstawienia'!G27*'Ceny otwarcia i zamknięcia'!$D$14</f>
        <v>20.019517920696778</v>
      </c>
      <c r="H27" s="11">
        <f>ABS('II rok - obstawienia'!H27)+'II rok - obstawienia'!H27*'Ceny otwarcia i zamknięcia'!$D$15</f>
        <v>50.455373406193083</v>
      </c>
      <c r="I27" s="11">
        <f>ABS('II rok - obstawienia'!I27)+'II rok - obstawienia'!I27*'Ceny otwarcia i zamknięcia'!$D$16</f>
        <v>9.9582983656766153</v>
      </c>
      <c r="J27" s="11" cm="1">
        <f t="array" ref="J27">L9-SUM(ABS('II rok - obstawienia'!F27:I27))</f>
        <v>4.2393366071840859</v>
      </c>
      <c r="L27" s="11">
        <f t="shared" si="2"/>
        <v>105.29948068426393</v>
      </c>
      <c r="M27">
        <f t="shared" si="3"/>
        <v>6</v>
      </c>
    </row>
    <row r="28" spans="1:13">
      <c r="A28" s="3" t="s">
        <v>92</v>
      </c>
      <c r="B28" s="2" t="s">
        <v>93</v>
      </c>
      <c r="C28" s="2" t="s">
        <v>94</v>
      </c>
      <c r="D28" s="2" t="s">
        <v>95</v>
      </c>
      <c r="F28" s="11">
        <f>ABS('II rok - obstawienia'!F28)+'II rok - obstawienia'!F28*'Ceny otwarcia i zamknięcia'!$D$13</f>
        <v>51.567385961283414</v>
      </c>
      <c r="G28" s="11">
        <f>ABS('II rok - obstawienia'!G28)+'II rok - obstawienia'!G28*'Ceny otwarcia i zamknięcia'!$D$14</f>
        <v>50.048794801741948</v>
      </c>
      <c r="H28" s="11">
        <f>ABS('II rok - obstawienia'!H28)+'II rok - obstawienia'!H28*'Ceny otwarcia i zamknięcia'!$D$15</f>
        <v>0</v>
      </c>
      <c r="I28" s="11">
        <f>ABS('II rok - obstawienia'!I28)+'II rok - obstawienia'!I28*'Ceny otwarcia i zamknięcia'!$D$16</f>
        <v>0</v>
      </c>
      <c r="J28" s="11" cm="1">
        <f t="array" ref="J28">L10-SUM(ABS('II rok - obstawienia'!F28:I28))</f>
        <v>6.5407334361862297</v>
      </c>
      <c r="L28" s="11">
        <f t="shared" si="2"/>
        <v>108.1569141992116</v>
      </c>
      <c r="M28">
        <f t="shared" si="3"/>
        <v>1</v>
      </c>
    </row>
    <row r="29" spans="1:13">
      <c r="A29" s="3" t="s">
        <v>96</v>
      </c>
      <c r="B29" s="2" t="s">
        <v>97</v>
      </c>
      <c r="C29" s="2" t="s">
        <v>98</v>
      </c>
      <c r="D29" s="2"/>
      <c r="F29" s="11">
        <f>ABS('II rok - obstawienia'!F29)+'II rok - obstawienia'!F29*'Ceny otwarcia i zamknięcia'!$D$13</f>
        <v>93.620242936839162</v>
      </c>
      <c r="G29" s="11">
        <f>ABS('II rok - obstawienia'!G29)+'II rok - obstawienia'!G29*'Ceny otwarcia i zamknięcia'!$D$14</f>
        <v>0</v>
      </c>
      <c r="H29" s="11">
        <f>ABS('II rok - obstawienia'!H29)+'II rok - obstawienia'!H29*'Ceny otwarcia i zamknięcia'!$D$15</f>
        <v>0</v>
      </c>
      <c r="I29" s="11">
        <f>ABS('II rok - obstawienia'!I29)+'II rok - obstawienia'!I29*'Ceny otwarcia i zamknięcia'!$D$16</f>
        <v>0</v>
      </c>
      <c r="J29" s="11" cm="1">
        <f t="array" ref="J29">L11-SUM(ABS('II rok - obstawienia'!F29:I29))</f>
        <v>4.2860963141890807E-3</v>
      </c>
      <c r="L29" s="11">
        <f t="shared" si="2"/>
        <v>93.624529033153351</v>
      </c>
      <c r="M29">
        <f t="shared" si="3"/>
        <v>14</v>
      </c>
    </row>
    <row r="30" spans="1:13">
      <c r="A30" s="3" t="s">
        <v>99</v>
      </c>
      <c r="B30" s="2" t="s">
        <v>100</v>
      </c>
      <c r="C30" s="2" t="s">
        <v>101</v>
      </c>
      <c r="D30" s="2" t="s">
        <v>102</v>
      </c>
      <c r="F30" s="11">
        <f>ABS('II rok - obstawienia'!F30)+'II rok - obstawienia'!F30*'Ceny otwarcia i zamknięcia'!$D$13</f>
        <v>0</v>
      </c>
      <c r="G30" s="11">
        <f>ABS('II rok - obstawienia'!G30)+'II rok - obstawienia'!G30*'Ceny otwarcia i zamknięcia'!$D$14</f>
        <v>95.876343257536504</v>
      </c>
      <c r="H30" s="11">
        <f>ABS('II rok - obstawienia'!H30)+'II rok - obstawienia'!H30*'Ceny otwarcia i zamknięcia'!$D$15</f>
        <v>0</v>
      </c>
      <c r="I30" s="11">
        <f>ABS('II rok - obstawienia'!I30)+'II rok - obstawienia'!I30*'Ceny otwarcia i zamknięcia'!$D$16</f>
        <v>0</v>
      </c>
      <c r="J30" s="11" cm="1">
        <f t="array" ref="J30">L12-SUM(ABS('II rok - obstawienia'!F30:I30))</f>
        <v>4.7099689591334482E-3</v>
      </c>
      <c r="L30" s="11">
        <f t="shared" si="2"/>
        <v>95.881053226495638</v>
      </c>
      <c r="M30">
        <f t="shared" si="3"/>
        <v>10</v>
      </c>
    </row>
    <row r="31" spans="1:13">
      <c r="A31" s="3" t="s">
        <v>103</v>
      </c>
      <c r="B31" s="2" t="s">
        <v>104</v>
      </c>
      <c r="C31" s="2" t="s">
        <v>105</v>
      </c>
      <c r="D31" s="2" t="s">
        <v>106</v>
      </c>
      <c r="F31" s="11">
        <f>ABS('II rok - obstawienia'!F31)+'II rok - obstawienia'!F31*'Ceny otwarcia i zamknięcia'!$D$13</f>
        <v>56.753337130568099</v>
      </c>
      <c r="G31" s="11">
        <f>ABS('II rok - obstawienia'!G31)+'II rok - obstawienia'!G31*'Ceny otwarcia i zamknięcia'!$D$14</f>
        <v>39.960964158606444</v>
      </c>
      <c r="H31" s="11">
        <f>ABS('II rok - obstawienia'!H31)+'II rok - obstawienia'!H31*'Ceny otwarcia i zamknięcia'!$D$15</f>
        <v>0</v>
      </c>
      <c r="I31" s="11">
        <f>ABS('II rok - obstawienia'!I31)+'II rok - obstawienia'!I31*'Ceny otwarcia i zamknięcia'!$D$16</f>
        <v>0</v>
      </c>
      <c r="J31" s="11" cm="1">
        <f t="array" ref="J31">L13-SUM(ABS('II rok - obstawienia'!F31:I31))</f>
        <v>1.0033434336236269E-3</v>
      </c>
      <c r="L31" s="11">
        <f t="shared" si="2"/>
        <v>96.715304632608166</v>
      </c>
      <c r="M31">
        <f t="shared" si="3"/>
        <v>9</v>
      </c>
    </row>
    <row r="32" spans="1:13">
      <c r="A32" s="3" t="s">
        <v>107</v>
      </c>
      <c r="B32" s="2" t="s">
        <v>108</v>
      </c>
      <c r="C32" s="2" t="s">
        <v>109</v>
      </c>
      <c r="D32" s="2" t="s">
        <v>110</v>
      </c>
      <c r="F32" s="11">
        <f>ABS('II rok - obstawienia'!F32)+'II rok - obstawienia'!F32*'Ceny otwarcia i zamknięcia'!$D$13</f>
        <v>41.253908769026729</v>
      </c>
      <c r="G32" s="11">
        <f>ABS('II rok - obstawienia'!G32)+'II rok - obstawienia'!G32*'Ceny otwarcia i zamknięcia'!$D$14</f>
        <v>60.058553762090334</v>
      </c>
      <c r="H32" s="11">
        <f>ABS('II rok - obstawienia'!H32)+'II rok - obstawienia'!H32*'Ceny otwarcia i zamknięcia'!$D$15</f>
        <v>0</v>
      </c>
      <c r="I32" s="11">
        <f>ABS('II rok - obstawienia'!I32)+'II rok - obstawienia'!I32*'Ceny otwarcia i zamknięcia'!$D$16</f>
        <v>6.5127271311525057</v>
      </c>
      <c r="J32" s="11" cm="1">
        <f t="array" ref="J32">L14-SUM(ABS('II rok - obstawienia'!F32:I32))</f>
        <v>7.334361862234573E-4</v>
      </c>
      <c r="L32" s="11">
        <f t="shared" si="2"/>
        <v>107.82592309845579</v>
      </c>
      <c r="M32">
        <f t="shared" si="3"/>
        <v>2</v>
      </c>
    </row>
    <row r="33" spans="1:13">
      <c r="A33" s="3" t="s">
        <v>111</v>
      </c>
      <c r="B33" s="2" t="s">
        <v>112</v>
      </c>
      <c r="C33" s="2" t="s">
        <v>113</v>
      </c>
      <c r="D33" s="2" t="s">
        <v>114</v>
      </c>
      <c r="F33" s="11">
        <f>ABS('II rok - obstawienia'!F33)+'II rok - obstawienia'!F33*'Ceny otwarcia i zamknięcia'!$D$13</f>
        <v>0</v>
      </c>
      <c r="G33" s="11">
        <f>ABS('II rok - obstawienia'!G33)+'II rok - obstawienia'!G33*'Ceny otwarcia i zamknięcia'!$D$14</f>
        <v>20.019517920696778</v>
      </c>
      <c r="H33" s="11">
        <f>ABS('II rok - obstawienia'!H33)+'II rok - obstawienia'!H33*'Ceny otwarcia i zamknięcia'!$D$15</f>
        <v>0</v>
      </c>
      <c r="I33" s="11">
        <f>ABS('II rok - obstawienia'!I33)+'II rok - obstawienia'!I33*'Ceny otwarcia i zamknięcia'!$D$16</f>
        <v>0</v>
      </c>
      <c r="J33" s="11" cm="1">
        <f t="array" ref="J33">L15-SUM(ABS('II rok - obstawienia'!F33:I33))</f>
        <v>86.54073343618623</v>
      </c>
      <c r="L33" s="11">
        <f t="shared" si="2"/>
        <v>106.56025135688301</v>
      </c>
      <c r="M33">
        <f t="shared" si="3"/>
        <v>4</v>
      </c>
    </row>
    <row r="34" spans="1:13">
      <c r="A34" s="3" t="s">
        <v>115</v>
      </c>
      <c r="B34" s="2" t="s">
        <v>116</v>
      </c>
      <c r="C34" s="2" t="s">
        <v>117</v>
      </c>
      <c r="D34" s="2" t="s">
        <v>118</v>
      </c>
      <c r="F34" s="11">
        <f>ABS('II rok - obstawienia'!F34)+'II rok - obstawienia'!F34*'Ceny otwarcia i zamknięcia'!$D$13</f>
        <v>51.567385961283414</v>
      </c>
      <c r="G34" s="11">
        <f>ABS('II rok - obstawienia'!G34)+'II rok - obstawienia'!G34*'Ceny otwarcia i zamknięcia'!$D$14</f>
        <v>50.048794801741948</v>
      </c>
      <c r="H34" s="11">
        <f>ABS('II rok - obstawienia'!H34)+'II rok - obstawienia'!H34*'Ceny otwarcia i zamknięcia'!$D$15</f>
        <v>0</v>
      </c>
      <c r="I34" s="11">
        <f>ABS('II rok - obstawienia'!I34)+'II rok - obstawienia'!I34*'Ceny otwarcia i zamknięcia'!$D$16</f>
        <v>0</v>
      </c>
      <c r="J34" s="11" cm="1">
        <f t="array" ref="J34">L16-SUM(ABS('II rok - obstawienia'!F34:I34))</f>
        <v>5.2325867489489752</v>
      </c>
      <c r="L34" s="11">
        <f t="shared" si="2"/>
        <v>106.84876751197434</v>
      </c>
      <c r="M34">
        <f t="shared" si="3"/>
        <v>3</v>
      </c>
    </row>
    <row r="35" spans="1:13">
      <c r="A35" s="3" t="s">
        <v>119</v>
      </c>
      <c r="B35" s="2" t="s">
        <v>120</v>
      </c>
      <c r="C35" s="2" t="s">
        <v>121</v>
      </c>
      <c r="D35" s="2"/>
      <c r="F35" s="11">
        <f>ABS('II rok - obstawienia'!F35)+'II rok - obstawienia'!F35*'Ceny otwarcia i zamknięcia'!$D$13</f>
        <v>94.424224329881866</v>
      </c>
      <c r="G35" s="11">
        <f>ABS('II rok - obstawienia'!G35)+'II rok - obstawienia'!G35*'Ceny otwarcia i zamknięcia'!$D$14</f>
        <v>0</v>
      </c>
      <c r="H35" s="11">
        <f>ABS('II rok - obstawienia'!H35)+'II rok - obstawienia'!H35*'Ceny otwarcia i zamknięcia'!$D$15</f>
        <v>0</v>
      </c>
      <c r="I35" s="11">
        <f>ABS('II rok - obstawienia'!I35)+'II rok - obstawienia'!I35*'Ceny otwarcia i zamknięcia'!$D$16</f>
        <v>0</v>
      </c>
      <c r="J35" s="11" cm="1">
        <f t="array" ref="J35">L17-SUM(ABS('II rok - obstawienia'!F35:I35))</f>
        <v>4.5565948546339996E-3</v>
      </c>
      <c r="L35" s="11">
        <f>SUM(F35:J35)</f>
        <v>94.4287809247365</v>
      </c>
      <c r="M35">
        <f t="shared" si="3"/>
        <v>12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18DF76-F804-4E2B-98B2-0DFBF134E8F0}">
  <dimension ref="A2:G31"/>
  <sheetViews>
    <sheetView tabSelected="1" workbookViewId="0">
      <selection activeCell="P10" sqref="P10"/>
    </sheetView>
  </sheetViews>
  <sheetFormatPr defaultRowHeight="15"/>
  <cols>
    <col min="1" max="1" width="16" customWidth="1"/>
    <col min="2" max="2" width="21.5703125" customWidth="1"/>
    <col min="3" max="3" width="18" customWidth="1"/>
    <col min="4" max="4" width="24.28515625" customWidth="1"/>
    <col min="6" max="6" width="17.7109375" customWidth="1"/>
    <col min="7" max="7" width="12" customWidth="1"/>
  </cols>
  <sheetData>
    <row r="2" spans="1:7">
      <c r="A2" s="1" t="s">
        <v>2</v>
      </c>
      <c r="B2" s="1" t="s">
        <v>3</v>
      </c>
      <c r="C2" s="1" t="s">
        <v>4</v>
      </c>
      <c r="D2" s="1" t="s">
        <v>5</v>
      </c>
      <c r="E2" s="1" t="s">
        <v>129</v>
      </c>
      <c r="F2" s="1" t="s">
        <v>130</v>
      </c>
      <c r="G2" s="1" t="s">
        <v>131</v>
      </c>
    </row>
    <row r="3" spans="1:7">
      <c r="A3" s="12" t="s">
        <v>92</v>
      </c>
      <c r="B3" s="2" t="s">
        <v>93</v>
      </c>
      <c r="C3" s="2" t="s">
        <v>94</v>
      </c>
      <c r="D3" s="2" t="s">
        <v>95</v>
      </c>
      <c r="E3">
        <v>2</v>
      </c>
      <c r="F3" s="11">
        <v>108.1569141992116</v>
      </c>
      <c r="G3">
        <f>RANK(F3,$F$3:$F$31,0)</f>
        <v>1</v>
      </c>
    </row>
    <row r="4" spans="1:7">
      <c r="A4" s="12" t="s">
        <v>107</v>
      </c>
      <c r="B4" s="2" t="s">
        <v>108</v>
      </c>
      <c r="C4" s="2" t="s">
        <v>109</v>
      </c>
      <c r="D4" s="2" t="s">
        <v>110</v>
      </c>
      <c r="E4">
        <v>2</v>
      </c>
      <c r="F4" s="11">
        <v>107.82592309845579</v>
      </c>
      <c r="G4">
        <f>RANK(F4,$F$3:$F$31,0)</f>
        <v>2</v>
      </c>
    </row>
    <row r="5" spans="1:7">
      <c r="A5" s="12" t="s">
        <v>115</v>
      </c>
      <c r="B5" s="2" t="s">
        <v>116</v>
      </c>
      <c r="C5" s="2" t="s">
        <v>117</v>
      </c>
      <c r="D5" s="2" t="s">
        <v>118</v>
      </c>
      <c r="E5">
        <v>2</v>
      </c>
      <c r="F5" s="11">
        <v>106.84876751197434</v>
      </c>
      <c r="G5">
        <f>RANK(F5,$F$3:$F$31,0)</f>
        <v>3</v>
      </c>
    </row>
    <row r="6" spans="1:7">
      <c r="A6" s="12" t="s">
        <v>111</v>
      </c>
      <c r="B6" s="2" t="s">
        <v>112</v>
      </c>
      <c r="C6" s="2" t="s">
        <v>113</v>
      </c>
      <c r="D6" s="2" t="s">
        <v>114</v>
      </c>
      <c r="E6">
        <v>2</v>
      </c>
      <c r="F6" s="11">
        <v>106.56025135688301</v>
      </c>
      <c r="G6">
        <f>RANK(F6,$F$3:$F$31,0)</f>
        <v>4</v>
      </c>
    </row>
    <row r="7" spans="1:7">
      <c r="A7" s="12" t="s">
        <v>76</v>
      </c>
      <c r="B7" s="2" t="s">
        <v>77</v>
      </c>
      <c r="C7" s="2" t="s">
        <v>78</v>
      </c>
      <c r="D7" s="2" t="s">
        <v>79</v>
      </c>
      <c r="E7">
        <v>2</v>
      </c>
      <c r="F7" s="11">
        <v>106.03050931204008</v>
      </c>
      <c r="G7">
        <f>RANK(F7,$F$3:$F$31,0)</f>
        <v>5</v>
      </c>
    </row>
    <row r="8" spans="1:7">
      <c r="A8" s="1" t="s">
        <v>46</v>
      </c>
      <c r="B8" s="2" t="s">
        <v>47</v>
      </c>
      <c r="C8" s="2" t="s">
        <v>48</v>
      </c>
      <c r="D8" s="2" t="s">
        <v>49</v>
      </c>
      <c r="E8">
        <v>1</v>
      </c>
      <c r="F8" s="11">
        <v>105.42342461853605</v>
      </c>
      <c r="G8">
        <f>RANK(F8,$F$3:$F$31,0)</f>
        <v>6</v>
      </c>
    </row>
    <row r="9" spans="1:7">
      <c r="A9" s="12" t="s">
        <v>88</v>
      </c>
      <c r="B9" s="2" t="s">
        <v>89</v>
      </c>
      <c r="C9" s="2" t="s">
        <v>90</v>
      </c>
      <c r="D9" s="2" t="s">
        <v>91</v>
      </c>
      <c r="E9">
        <v>2</v>
      </c>
      <c r="F9" s="11">
        <v>105.29948068426393</v>
      </c>
      <c r="G9">
        <f>RANK(F9,$F$3:$F$31,0)</f>
        <v>7</v>
      </c>
    </row>
    <row r="10" spans="1:7">
      <c r="A10" s="1" t="s">
        <v>50</v>
      </c>
      <c r="B10" s="2" t="s">
        <v>51</v>
      </c>
      <c r="C10" s="2" t="s">
        <v>52</v>
      </c>
      <c r="D10" s="2" t="s">
        <v>53</v>
      </c>
      <c r="E10">
        <v>1</v>
      </c>
      <c r="F10" s="11">
        <v>104.03688119307652</v>
      </c>
      <c r="G10">
        <f>RANK(F10,$F$3:$F$31,0)</f>
        <v>8</v>
      </c>
    </row>
    <row r="11" spans="1:7">
      <c r="A11" s="1" t="s">
        <v>22</v>
      </c>
      <c r="B11" s="2" t="s">
        <v>23</v>
      </c>
      <c r="C11" s="2" t="s">
        <v>24</v>
      </c>
      <c r="D11" s="2" t="s">
        <v>25</v>
      </c>
      <c r="E11">
        <v>1</v>
      </c>
      <c r="F11" s="11">
        <v>103.78071458084574</v>
      </c>
      <c r="G11">
        <f>RANK(F11,$F$3:$F$31,0)</f>
        <v>9</v>
      </c>
    </row>
    <row r="12" spans="1:7">
      <c r="A12" s="1" t="s">
        <v>18</v>
      </c>
      <c r="B12" s="2" t="s">
        <v>19</v>
      </c>
      <c r="C12" s="2" t="s">
        <v>20</v>
      </c>
      <c r="D12" s="2" t="s">
        <v>21</v>
      </c>
      <c r="E12">
        <v>1</v>
      </c>
      <c r="F12" s="11">
        <v>103.76845160974759</v>
      </c>
      <c r="G12">
        <f>RANK(F12,$F$3:$F$31,0)</f>
        <v>10</v>
      </c>
    </row>
    <row r="13" spans="1:7">
      <c r="A13" s="1" t="s">
        <v>57</v>
      </c>
      <c r="B13" s="2" t="s">
        <v>58</v>
      </c>
      <c r="C13" s="2" t="s">
        <v>59</v>
      </c>
      <c r="D13" s="2" t="s">
        <v>60</v>
      </c>
      <c r="E13">
        <v>1</v>
      </c>
      <c r="F13" s="11">
        <v>103.36914954793785</v>
      </c>
      <c r="G13">
        <f>RANK(F13,$F$3:$F$31,0)</f>
        <v>11</v>
      </c>
    </row>
    <row r="14" spans="1:7">
      <c r="A14" s="1" t="s">
        <v>54</v>
      </c>
      <c r="B14" s="2" t="s">
        <v>55</v>
      </c>
      <c r="C14" s="3" t="s">
        <v>56</v>
      </c>
      <c r="D14" s="2"/>
      <c r="E14">
        <v>1</v>
      </c>
      <c r="F14" s="11">
        <v>102.78566533745027</v>
      </c>
      <c r="G14">
        <f>RANK(F14,$F$3:$F$31,0)</f>
        <v>12</v>
      </c>
    </row>
    <row r="15" spans="1:7">
      <c r="A15" s="1" t="s">
        <v>34</v>
      </c>
      <c r="B15" s="2" t="s">
        <v>35</v>
      </c>
      <c r="C15" s="2" t="s">
        <v>36</v>
      </c>
      <c r="D15" s="2" t="s">
        <v>37</v>
      </c>
      <c r="E15">
        <v>1</v>
      </c>
      <c r="F15" s="11">
        <v>102.052056705262</v>
      </c>
      <c r="G15">
        <f>RANK(F15,$F$3:$F$31,0)</f>
        <v>13</v>
      </c>
    </row>
    <row r="16" spans="1:7">
      <c r="A16" s="1" t="s">
        <v>11</v>
      </c>
      <c r="B16" s="2" t="s">
        <v>12</v>
      </c>
      <c r="C16" s="2" t="s">
        <v>13</v>
      </c>
      <c r="D16" s="2"/>
      <c r="E16">
        <v>1</v>
      </c>
      <c r="F16" s="11">
        <v>100.9512490584772</v>
      </c>
      <c r="G16">
        <f>RANK(F16,$F$3:$F$31,0)</f>
        <v>14</v>
      </c>
    </row>
    <row r="17" spans="1:7">
      <c r="A17" s="12" t="s">
        <v>84</v>
      </c>
      <c r="B17" s="2" t="s">
        <v>85</v>
      </c>
      <c r="C17" s="2" t="s">
        <v>86</v>
      </c>
      <c r="D17" s="2" t="s">
        <v>87</v>
      </c>
      <c r="E17">
        <v>2</v>
      </c>
      <c r="F17" s="11">
        <v>100.86874695787718</v>
      </c>
      <c r="G17">
        <f>RANK(F17,$F$3:$F$31,0)</f>
        <v>15</v>
      </c>
    </row>
    <row r="18" spans="1:7">
      <c r="A18" s="1" t="s">
        <v>14</v>
      </c>
      <c r="B18" s="2" t="s">
        <v>15</v>
      </c>
      <c r="C18" s="2" t="s">
        <v>16</v>
      </c>
      <c r="D18" s="2" t="s">
        <v>17</v>
      </c>
      <c r="E18">
        <v>1</v>
      </c>
      <c r="F18" s="11">
        <v>100.15477129601733</v>
      </c>
      <c r="G18">
        <f>RANK(F18,$F$3:$F$31,0)</f>
        <v>16</v>
      </c>
    </row>
    <row r="19" spans="1:7">
      <c r="A19" s="12" t="s">
        <v>72</v>
      </c>
      <c r="B19" s="2" t="s">
        <v>73</v>
      </c>
      <c r="C19" s="2" t="s">
        <v>74</v>
      </c>
      <c r="D19" s="2" t="s">
        <v>75</v>
      </c>
      <c r="E19">
        <v>2</v>
      </c>
      <c r="F19" s="11">
        <v>99.708209421465284</v>
      </c>
      <c r="G19">
        <f>RANK(F19,$F$3:$F$31,0)</f>
        <v>17</v>
      </c>
    </row>
    <row r="20" spans="1:7">
      <c r="A20" s="1" t="s">
        <v>38</v>
      </c>
      <c r="B20" s="2" t="s">
        <v>39</v>
      </c>
      <c r="C20" s="2" t="s">
        <v>40</v>
      </c>
      <c r="D20" s="2" t="s">
        <v>41</v>
      </c>
      <c r="E20">
        <v>1</v>
      </c>
      <c r="F20" s="11">
        <v>99.212080306713275</v>
      </c>
      <c r="G20">
        <f>RANK(F20,$F$3:$F$31,0)</f>
        <v>18</v>
      </c>
    </row>
    <row r="21" spans="1:7">
      <c r="A21" s="1" t="s">
        <v>42</v>
      </c>
      <c r="B21" s="2" t="s">
        <v>43</v>
      </c>
      <c r="C21" s="2" t="s">
        <v>44</v>
      </c>
      <c r="D21" s="2" t="s">
        <v>45</v>
      </c>
      <c r="E21">
        <v>1</v>
      </c>
      <c r="F21" s="11">
        <v>99.005115211874738</v>
      </c>
      <c r="G21">
        <f>RANK(F21,$F$3:$F$31,0)</f>
        <v>19</v>
      </c>
    </row>
    <row r="22" spans="1:7">
      <c r="A22" s="1" t="s">
        <v>30</v>
      </c>
      <c r="B22" s="2" t="s">
        <v>31</v>
      </c>
      <c r="C22" s="2" t="s">
        <v>32</v>
      </c>
      <c r="D22" s="2" t="s">
        <v>33</v>
      </c>
      <c r="E22">
        <v>1</v>
      </c>
      <c r="F22" s="11">
        <v>98.017145099088367</v>
      </c>
      <c r="G22">
        <f>RANK(F22,$F$3:$F$31,0)</f>
        <v>20</v>
      </c>
    </row>
    <row r="23" spans="1:7">
      <c r="A23" s="1" t="s">
        <v>26</v>
      </c>
      <c r="B23" s="2" t="s">
        <v>27</v>
      </c>
      <c r="C23" s="2" t="s">
        <v>28</v>
      </c>
      <c r="D23" s="2" t="s">
        <v>29</v>
      </c>
      <c r="E23">
        <v>1</v>
      </c>
      <c r="F23" s="11">
        <v>97.859985108107693</v>
      </c>
      <c r="G23">
        <f>RANK(F23,$F$3:$F$31,0)</f>
        <v>21</v>
      </c>
    </row>
    <row r="24" spans="1:7">
      <c r="A24" s="1" t="s">
        <v>64</v>
      </c>
      <c r="B24" s="2" t="s">
        <v>65</v>
      </c>
      <c r="C24" s="2" t="s">
        <v>66</v>
      </c>
      <c r="D24" s="2"/>
      <c r="E24">
        <v>1</v>
      </c>
      <c r="F24" s="11">
        <v>96.953299205489998</v>
      </c>
      <c r="G24">
        <f>RANK(F24,$F$3:$F$31,0)</f>
        <v>22</v>
      </c>
    </row>
    <row r="25" spans="1:7">
      <c r="A25" s="12" t="s">
        <v>103</v>
      </c>
      <c r="B25" s="2" t="s">
        <v>104</v>
      </c>
      <c r="C25" s="2" t="s">
        <v>105</v>
      </c>
      <c r="D25" s="2" t="s">
        <v>106</v>
      </c>
      <c r="E25">
        <v>2</v>
      </c>
      <c r="F25" s="11">
        <v>96.715304632608166</v>
      </c>
      <c r="G25">
        <f>RANK(F25,$F$3:$F$31,0)</f>
        <v>23</v>
      </c>
    </row>
    <row r="26" spans="1:7">
      <c r="A26" s="1" t="s">
        <v>61</v>
      </c>
      <c r="B26" s="2" t="s">
        <v>62</v>
      </c>
      <c r="C26" s="2" t="s">
        <v>63</v>
      </c>
      <c r="D26" s="2"/>
      <c r="E26">
        <v>1</v>
      </c>
      <c r="F26" s="11">
        <v>95.920983567117176</v>
      </c>
      <c r="G26">
        <f>RANK(F26,$F$3:$F$31,0)</f>
        <v>24</v>
      </c>
    </row>
    <row r="27" spans="1:7">
      <c r="A27" s="12" t="s">
        <v>99</v>
      </c>
      <c r="B27" s="2" t="s">
        <v>100</v>
      </c>
      <c r="C27" s="2" t="s">
        <v>101</v>
      </c>
      <c r="D27" s="2" t="s">
        <v>102</v>
      </c>
      <c r="E27">
        <v>2</v>
      </c>
      <c r="F27" s="11">
        <v>95.881053226495638</v>
      </c>
      <c r="G27">
        <f>RANK(F27,$F$3:$F$31,0)</f>
        <v>25</v>
      </c>
    </row>
    <row r="28" spans="1:7">
      <c r="A28" s="12" t="s">
        <v>68</v>
      </c>
      <c r="B28" s="2" t="s">
        <v>69</v>
      </c>
      <c r="C28" s="2" t="s">
        <v>70</v>
      </c>
      <c r="D28" s="2" t="s">
        <v>71</v>
      </c>
      <c r="E28">
        <v>2</v>
      </c>
      <c r="F28" s="11">
        <v>94.498012644597708</v>
      </c>
      <c r="G28">
        <f>RANK(F28,$F$3:$F$31,0)</f>
        <v>26</v>
      </c>
    </row>
    <row r="29" spans="1:7">
      <c r="A29" s="12" t="s">
        <v>119</v>
      </c>
      <c r="B29" s="2" t="s">
        <v>120</v>
      </c>
      <c r="C29" s="2" t="s">
        <v>121</v>
      </c>
      <c r="D29" s="2"/>
      <c r="E29">
        <v>2</v>
      </c>
      <c r="F29" s="11">
        <v>94.4287809247365</v>
      </c>
      <c r="G29">
        <f>RANK(F29,$F$3:$F$31,0)</f>
        <v>27</v>
      </c>
    </row>
    <row r="30" spans="1:7">
      <c r="A30" s="12" t="s">
        <v>80</v>
      </c>
      <c r="B30" s="2" t="s">
        <v>81</v>
      </c>
      <c r="C30" s="2" t="s">
        <v>82</v>
      </c>
      <c r="D30" s="2" t="s">
        <v>83</v>
      </c>
      <c r="E30">
        <v>2</v>
      </c>
      <c r="F30" s="11">
        <v>94.07168844188044</v>
      </c>
      <c r="G30">
        <f>RANK(F30,$F$3:$F$31,0)</f>
        <v>28</v>
      </c>
    </row>
    <row r="31" spans="1:7">
      <c r="A31" s="12" t="s">
        <v>96</v>
      </c>
      <c r="B31" s="2" t="s">
        <v>97</v>
      </c>
      <c r="C31" s="2" t="s">
        <v>98</v>
      </c>
      <c r="D31" s="2"/>
      <c r="E31">
        <v>2</v>
      </c>
      <c r="F31" s="11">
        <v>93.624529033153351</v>
      </c>
      <c r="G31">
        <f>RANK(F31,$F$3:$F$31,0)</f>
        <v>29</v>
      </c>
    </row>
  </sheetData>
  <autoFilter ref="A2:G31" xr:uid="{2B18DF76-F804-4E2B-98B2-0DFBF134E8F0}">
    <sortState xmlns:xlrd2="http://schemas.microsoft.com/office/spreadsheetml/2017/richdata2" ref="A3:G31">
      <sortCondition ref="G2:G31"/>
    </sortState>
  </autoFilter>
  <sortState xmlns:xlrd2="http://schemas.microsoft.com/office/spreadsheetml/2017/richdata2" ref="A3:G31">
    <sortCondition ref="G3:G31"/>
  </sortState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E2F3FEA3D12043488B0F03FD1B683BE0" ma:contentTypeVersion="6" ma:contentTypeDescription="Utwórz nowy dokument." ma:contentTypeScope="" ma:versionID="b15c1964eb8c6c3f7953094e36e179c6">
  <xsd:schema xmlns:xsd="http://www.w3.org/2001/XMLSchema" xmlns:xs="http://www.w3.org/2001/XMLSchema" xmlns:p="http://schemas.microsoft.com/office/2006/metadata/properties" xmlns:ns3="cb5a736c-99f8-4eec-ae91-a17fdf5f0182" targetNamespace="http://schemas.microsoft.com/office/2006/metadata/properties" ma:root="true" ma:fieldsID="e1b80c706cac66ceda245e4753eb7413" ns3:_="">
    <xsd:import namespace="cb5a736c-99f8-4eec-ae91-a17fdf5f0182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5a736c-99f8-4eec-ae91-a17fdf5f0182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3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 zawartości"/>
        <xsd:element ref="dc:title" minOccurs="0" maxOccurs="1" ma:index="4" ma:displayName="Tytu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��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cb5a736c-99f8-4eec-ae91-a17fdf5f0182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C5FDCB2-F9F0-4B0C-8FE4-5D90535613BD}"/>
</file>

<file path=customXml/itemProps2.xml><?xml version="1.0" encoding="utf-8"?>
<ds:datastoreItem xmlns:ds="http://schemas.openxmlformats.org/officeDocument/2006/customXml" ds:itemID="{8F449951-211C-4E9E-A438-67F971814AFB}"/>
</file>

<file path=customXml/itemProps3.xml><?xml version="1.0" encoding="utf-8"?>
<ds:datastoreItem xmlns:ds="http://schemas.openxmlformats.org/officeDocument/2006/customXml" ds:itemID="{BD9C88EB-2A50-448A-968F-9A95CFF6A70D}"/>
</file>

<file path=customXml/itemProps4.xml><?xml version="1.0" encoding="utf-8"?>
<ds:datastoreItem xmlns:ds="http://schemas.openxmlformats.org/officeDocument/2006/customXml" ds:itemID="{53557734-B028-414E-A3FF-52193D513CE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Błażej Niewiarowski</dc:creator>
  <cp:keywords/>
  <dc:description/>
  <cp:lastModifiedBy/>
  <cp:revision/>
  <dcterms:created xsi:type="dcterms:W3CDTF">2026-03-16T10:06:31Z</dcterms:created>
  <dcterms:modified xsi:type="dcterms:W3CDTF">2026-03-30T15:41:34Z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0x010100E2F3FEA3D12043488B0F03FD1B683BE0</vt:lpwstr>
  </property>
</Properties>
</file>